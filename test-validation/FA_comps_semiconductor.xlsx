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b val="1"/>
      <color rgb="00FFFFFF"/>
      <sz val="11"/>
    </font>
    <font>
      <name val="Times New Roman"/>
      <i val="1"/>
      <color rgb="00FFFFFF"/>
      <sz val="10"/>
    </font>
    <font>
      <name val="Times New Roman"/>
      <b val="1"/>
      <color rgb="00FFFFFF"/>
      <sz val="12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color rgb="000000FF"/>
      <sz val="11"/>
    </font>
    <font>
      <name val="Times New Roman"/>
      <i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164" fontId="7" fillId="4" borderId="0" applyAlignment="1" pivotButton="0" quotePrefix="0" xfId="0">
      <alignment horizontal="center" vertical="center" wrapText="1"/>
    </xf>
    <xf numFmtId="165" fontId="7" fillId="4" borderId="0" applyAlignment="1" pivotButton="0" quotePrefix="0" xfId="0">
      <alignment horizontal="center" vertical="center" wrapText="1"/>
    </xf>
    <xf numFmtId="3" fontId="7" fillId="4" borderId="0" applyAlignment="1" pivotButton="0" quotePrefix="0" xfId="0">
      <alignment horizontal="center" vertical="center" wrapText="1"/>
    </xf>
    <xf numFmtId="166" fontId="7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165" fontId="5" fillId="5" borderId="0" applyAlignment="1" pivotButton="0" quotePrefix="0" xfId="0">
      <alignment horizontal="center" vertical="center" wrapText="1"/>
    </xf>
    <xf numFmtId="166" fontId="5" fillId="5" borderId="0" applyAlignment="1" pivotButton="0" quotePrefix="0" xfId="0">
      <alignment horizontal="center" vertical="center" wrapText="1"/>
    </xf>
    <xf numFmtId="3" fontId="6" fillId="4" borderId="0" applyAlignment="1" pivotButton="0" quotePrefix="0" xfId="0">
      <alignment horizontal="center" vertical="center" wrapText="1"/>
    </xf>
    <xf numFmtId="166" fontId="6" fillId="4" borderId="0" applyAlignment="1" pivotButton="0" quotePrefix="0" xfId="0">
      <alignment horizontal="center" vertical="center" wrapText="1"/>
    </xf>
    <xf numFmtId="2" fontId="7" fillId="4" borderId="0" applyAlignment="1" pivotButton="0" quotePrefix="0" xfId="0">
      <alignment horizontal="center" vertical="center" wrapText="1"/>
    </xf>
    <xf numFmtId="164" fontId="6" fillId="4" borderId="0" applyAlignment="1" pivotButton="0" quotePrefix="0" xfId="0">
      <alignment horizontal="center" vertical="center" wrapText="1"/>
    </xf>
    <xf numFmtId="165" fontId="6" fillId="4" borderId="0" applyAlignment="1" pivotButton="0" quotePrefix="0" xfId="0">
      <alignment horizontal="center" vertical="center" wrapText="1"/>
    </xf>
    <xf numFmtId="2" fontId="5" fillId="5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Analyst</author>
  </authors>
  <commentList>
    <comment ref="A7" authorId="0" shapeId="0">
      <text>
        <t>GuruFocus (EV, EBITDA, EV/Rev), Macrotrends (PE), FinanceCharts (PE, EV/EBITDA), Yahoo Finance (fwd PE). Revenue TTM $215.9B, EBITDA TTM $144.6B per GuruFocus.</t>
      </text>
    </comment>
    <comment ref="A8" authorId="0" shapeId="0">
      <text>
        <t>GuruFocus (EV/Rev 19.59), FullRatio (PE 80.52), FinanceCharts (EV/EBITDA 82.88), AMD IR Q1 2026 ($10.3B rev). Revenue TTM ~$34.6B.</t>
      </text>
    </comment>
    <comment ref="A9" authorId="0" shapeId="0">
      <text>
        <t>GuruFocus (EV $2.09T, EV/EBITDA 53x), FullRatio (PE 75.48), Yahoo Finance (fwd PE). TTM Revenue $68.3B.</t>
      </text>
    </comment>
    <comment ref="A10" authorId="0" shapeId="0">
      <text>
        <t>Yahoo Finance (PE 13.67), FinanceCharts (EV/EBITDA ~14.7), Eulerpool (EV/Rev 3.89→4.6 normalized). Revenue FY ~$44.3B.</t>
      </text>
    </comment>
    <comment ref="A11" authorId="0" shapeId="0">
      <text>
        <t>Yahoo Finance (mkt cap, fwd PE 101.6), FinanceCharts (EV/EBITDA 48.27), GuruFocus (EV/EBITDA 59.82). Trailing PE negative; fwd PE 101.6. TTM Rev ~$52.9B.</t>
      </text>
    </comment>
    <comment ref="A12" authorId="0" shapeId="0">
      <text>
        <t>Finbox (EV/Rev 9.1x), MarketScreener (PE 51.77), MRVL IR (FY2026 rev $8.2B, +42% YoY), GuruFocus (EV $142B).</t>
      </text>
    </comment>
    <comment ref="A13" authorId="0" shapeId="0">
      <text>
        <t>Yahoo Finance (PE 250.9, EV/Rev 45.48, EV/EBITDA 193.4), GuruFocus (EV $221B, EV/EBITDA 200.2). FY2025 revenue ~$5B.</t>
      </text>
    </comment>
    <comment ref="A14" authorId="0" shapeId="0">
      <text>
        <t>GuruFocus (EV/Rev 12.33, EV/EBITDA 30.01), Macrotrends (PE 39.5), Yahoo Finance (PE 33.0). TTM Revenue ~$18.3B.</t>
      </text>
    </comment>
    <comment ref="H24" authorId="0" shapeId="0">
      <text>
        <t>Source: GuruFocus 10Y median comparison for EV/EBITDA</t>
      </text>
    </comment>
    <comment ref="I24" authorId="0" shapeId="0">
      <text>
        <t>PEG = P/E (TTM) / Revenue Growth %. Source: calculated from PE and growth data</t>
      </text>
    </comment>
    <comment ref="H25" authorId="0" shapeId="0">
      <text>
        <t>Source: GuruFocus 10Y median comparison for EV/EBITDA</t>
      </text>
    </comment>
    <comment ref="I25" authorId="0" shapeId="0">
      <text>
        <t>PEG = P/E (TTM) / Revenue Growth %. Source: calculated from PE and growth data</t>
      </text>
    </comment>
    <comment ref="H26" authorId="0" shapeId="0">
      <text>
        <t>Source: GuruFocus 10Y median comparison for EV/EBITDA</t>
      </text>
    </comment>
    <comment ref="I26" authorId="0" shapeId="0">
      <text>
        <t>PEG = P/E (TTM) / Revenue Growth %. Source: calculated from PE and growth data</t>
      </text>
    </comment>
    <comment ref="H27" authorId="0" shapeId="0">
      <text>
        <t>Source: GuruFocus 10Y median comparison for EV/EBITDA</t>
      </text>
    </comment>
    <comment ref="I27" authorId="0" shapeId="0">
      <text>
        <t>PEG = P/E (TTM) / Revenue Growth %. Source: calculated from PE and growth data</t>
      </text>
    </comment>
    <comment ref="H28" authorId="0" shapeId="0">
      <text>
        <t>Source: GuruFocus 10Y median comparison for EV/EBITDA</t>
      </text>
    </comment>
    <comment ref="I28" authorId="0" shapeId="0">
      <text>
        <t>PEG = P/E (TTM) / Revenue Growth %. Source: calculated from PE and growth data</t>
      </text>
    </comment>
    <comment ref="H29" authorId="0" shapeId="0">
      <text>
        <t>Source: GuruFocus 10Y median comparison for EV/EBITDA</t>
      </text>
    </comment>
    <comment ref="I29" authorId="0" shapeId="0">
      <text>
        <t>PEG = P/E (TTM) / Revenue Growth %. Source: calculated from PE and growth data</t>
      </text>
    </comment>
    <comment ref="H30" authorId="0" shapeId="0">
      <text>
        <t>Source: GuruFocus 10Y median comparison for EV/EBITDA</t>
      </text>
    </comment>
    <comment ref="I30" authorId="0" shapeId="0">
      <text>
        <t>PEG = P/E (TTM) / Revenue Growth %. Source: calculated from PE and growth data</t>
      </text>
    </comment>
    <comment ref="H31" authorId="0" shapeId="0">
      <text>
        <t>Source: GuruFocus 10Y median comparison for EV/EBITDA</t>
      </text>
    </comment>
    <comment ref="I31" authorId="0" shapeId="0">
      <text>
        <t>PEG = P/E (TTM) / Revenue Growth %. Source: calculated from PE and growth data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1" t="inlineStr">
        <is>
          <t>SEMICONDUCTOR — COMPARABLE COMPANY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>
        <is>
          <t>NVDA (NVIDIA) vs AMD · AVGO · QCOM · INTC · MRVL · ARM · TXN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0" customHeight="1">
      <c r="A3" s="4" t="inlineStr">
        <is>
          <t>As of May 9, 2026 | All figures in USD Billions except per-share amounts and multiples | Data sourced via WebSearch (Yahoo Finance, GuruFocus, FinanceCharts, Finbox, Macrotrends)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/>
    <row r="5" ht="22" customHeight="1">
      <c r="A5" s="5" t="inlineStr">
        <is>
          <t>OPERATING STATISTICS &amp; FINANCIAL METRICS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 ht="22" customHeight="1">
      <c r="A6" s="7" t="inlineStr">
        <is>
          <t>Company</t>
        </is>
      </c>
      <c r="B6" s="7" t="inlineStr">
        <is>
          <t>Revenue ($B)</t>
        </is>
      </c>
      <c r="C6" s="7" t="inlineStr">
        <is>
          <t>Revenue Growth (YoY) %</t>
        </is>
      </c>
      <c r="D6" s="7" t="inlineStr">
        <is>
          <t>Gross Margin %</t>
        </is>
      </c>
      <c r="E6" s="7" t="inlineStr">
        <is>
          <t>EBITDA ($B)</t>
        </is>
      </c>
      <c r="F6" s="7" t="inlineStr">
        <is>
          <t>EBITDA Margin %</t>
        </is>
      </c>
      <c r="G6" s="7" t="inlineStr">
        <is>
          <t>Market Cap ($B)</t>
        </is>
      </c>
      <c r="H6" s="7" t="inlineStr">
        <is>
          <t>Enterprise Value ($B)</t>
        </is>
      </c>
      <c r="I6" s="7" t="inlineStr">
        <is>
          <t>EV/Revenue</t>
        </is>
      </c>
      <c r="J6" s="7" t="inlineStr">
        <is>
          <t>EV/EBITDA</t>
        </is>
      </c>
      <c r="K6" s="7" t="inlineStr">
        <is>
          <t>P/E (TTM)</t>
        </is>
      </c>
      <c r="L6" s="7" t="inlineStr">
        <is>
          <t>Forward P/E</t>
        </is>
      </c>
    </row>
    <row r="7" ht="22" customHeight="1">
      <c r="A7" s="8" t="inlineStr">
        <is>
          <t>NVDA</t>
        </is>
      </c>
      <c r="B7" s="9" t="n">
        <v>215.9</v>
      </c>
      <c r="C7" s="10" t="n">
        <v>0.65</v>
      </c>
      <c r="D7" s="10" t="n">
        <v>0.735</v>
      </c>
      <c r="E7" s="9" t="n">
        <v>144.6</v>
      </c>
      <c r="F7" s="10" t="n">
        <v>0.669</v>
      </c>
      <c r="G7" s="11" t="n">
        <v>5200</v>
      </c>
      <c r="H7" s="11" t="n">
        <v>5411</v>
      </c>
      <c r="I7" s="12" t="n">
        <v>25.1</v>
      </c>
      <c r="J7" s="12" t="n">
        <v>37.4</v>
      </c>
      <c r="K7" s="12" t="n">
        <v>43.7</v>
      </c>
      <c r="L7" s="12" t="n">
        <v>38</v>
      </c>
    </row>
    <row r="8" ht="22" customHeight="1">
      <c r="A8" s="8" t="inlineStr">
        <is>
          <t>AMD</t>
        </is>
      </c>
      <c r="B8" s="9" t="n">
        <v>34.6</v>
      </c>
      <c r="C8" s="10" t="n">
        <v>0.35</v>
      </c>
      <c r="D8" s="10" t="n">
        <v>0.53</v>
      </c>
      <c r="E8" s="9" t="n">
        <v>8.800000000000001</v>
      </c>
      <c r="F8" s="10" t="n">
        <v>0.254</v>
      </c>
      <c r="G8" s="11" t="n">
        <v>665</v>
      </c>
      <c r="H8" s="11" t="n">
        <v>678</v>
      </c>
      <c r="I8" s="12" t="n">
        <v>19.6</v>
      </c>
      <c r="J8" s="12" t="n">
        <v>83</v>
      </c>
      <c r="K8" s="12" t="n">
        <v>80.5</v>
      </c>
      <c r="L8" s="12" t="n">
        <v>55</v>
      </c>
    </row>
    <row r="9" ht="22" customHeight="1">
      <c r="A9" s="8" t="inlineStr">
        <is>
          <t>AVGO</t>
        </is>
      </c>
      <c r="B9" s="9" t="n">
        <v>68.3</v>
      </c>
      <c r="C9" s="10" t="n">
        <v>0.25</v>
      </c>
      <c r="D9" s="10" t="n">
        <v>0.7</v>
      </c>
      <c r="E9" s="9" t="n">
        <v>40.1</v>
      </c>
      <c r="F9" s="10" t="n">
        <v>0.5870000000000001</v>
      </c>
      <c r="G9" s="11" t="n">
        <v>2010</v>
      </c>
      <c r="H9" s="11" t="n">
        <v>2090</v>
      </c>
      <c r="I9" s="12" t="n">
        <v>30.6</v>
      </c>
      <c r="J9" s="12" t="n">
        <v>53</v>
      </c>
      <c r="K9" s="12" t="n">
        <v>75.5</v>
      </c>
      <c r="L9" s="12" t="n">
        <v>45</v>
      </c>
    </row>
    <row r="10" ht="22" customHeight="1">
      <c r="A10" s="8" t="inlineStr">
        <is>
          <t>QCOM</t>
        </is>
      </c>
      <c r="B10" s="9" t="n">
        <v>44.3</v>
      </c>
      <c r="C10" s="10" t="n">
        <v>0.15</v>
      </c>
      <c r="D10" s="10" t="n">
        <v>0.5600000000000001</v>
      </c>
      <c r="E10" s="9" t="n">
        <v>14.9</v>
      </c>
      <c r="F10" s="10" t="n">
        <v>0.336</v>
      </c>
      <c r="G10" s="11" t="n">
        <v>188</v>
      </c>
      <c r="H10" s="11" t="n">
        <v>202</v>
      </c>
      <c r="I10" s="12" t="n">
        <v>4.6</v>
      </c>
      <c r="J10" s="12" t="n">
        <v>13.6</v>
      </c>
      <c r="K10" s="12" t="n">
        <v>13.7</v>
      </c>
      <c r="L10" s="12" t="n">
        <v>13</v>
      </c>
    </row>
    <row r="11" ht="22" customHeight="1">
      <c r="A11" s="8" t="inlineStr">
        <is>
          <t>INTC</t>
        </is>
      </c>
      <c r="B11" s="9" t="n">
        <v>52.9</v>
      </c>
      <c r="C11" s="10" t="n">
        <v>0.07000000000000001</v>
      </c>
      <c r="D11" s="10" t="n">
        <v>0.4</v>
      </c>
      <c r="E11" s="9" t="n">
        <v>4.8</v>
      </c>
      <c r="F11" s="10" t="n">
        <v>0.091</v>
      </c>
      <c r="G11" s="11" t="n">
        <v>312</v>
      </c>
      <c r="H11" s="11" t="n">
        <v>320</v>
      </c>
      <c r="I11" s="12" t="n">
        <v>6</v>
      </c>
      <c r="J11" s="12" t="n">
        <v>48.3</v>
      </c>
      <c r="K11" s="12" t="n">
        <v>-201.5</v>
      </c>
      <c r="L11" s="12" t="n">
        <v>101.6</v>
      </c>
    </row>
    <row r="12" ht="22" customHeight="1">
      <c r="A12" s="8" t="inlineStr">
        <is>
          <t>MRVL</t>
        </is>
      </c>
      <c r="B12" s="9" t="n">
        <v>8.199999999999999</v>
      </c>
      <c r="C12" s="10" t="n">
        <v>0.421</v>
      </c>
      <c r="D12" s="10" t="n">
        <v>0.5</v>
      </c>
      <c r="E12" s="9" t="n">
        <v>2.4</v>
      </c>
      <c r="F12" s="10" t="n">
        <v>0.293</v>
      </c>
      <c r="G12" s="11" t="n">
        <v>72</v>
      </c>
      <c r="H12" s="11" t="n">
        <v>142</v>
      </c>
      <c r="I12" s="12" t="n">
        <v>9.1</v>
      </c>
      <c r="J12" s="12" t="n">
        <v>33.7</v>
      </c>
      <c r="K12" s="12" t="n">
        <v>51.8</v>
      </c>
      <c r="L12" s="12" t="n">
        <v>35</v>
      </c>
    </row>
    <row r="13" ht="22" customHeight="1">
      <c r="A13" s="8" t="inlineStr">
        <is>
          <t>ARM</t>
        </is>
      </c>
      <c r="B13" s="9" t="n">
        <v>5</v>
      </c>
      <c r="C13" s="10" t="n">
        <v>0.25</v>
      </c>
      <c r="D13" s="10" t="n">
        <v>0.96</v>
      </c>
      <c r="E13" s="9" t="n">
        <v>1.1</v>
      </c>
      <c r="F13" s="10" t="n">
        <v>0.22</v>
      </c>
      <c r="G13" s="11" t="n">
        <v>227</v>
      </c>
      <c r="H13" s="11" t="n">
        <v>221</v>
      </c>
      <c r="I13" s="12" t="n">
        <v>45.5</v>
      </c>
      <c r="J13" s="12" t="n">
        <v>200</v>
      </c>
      <c r="K13" s="12" t="n">
        <v>250</v>
      </c>
      <c r="L13" s="12" t="n">
        <v>158</v>
      </c>
    </row>
    <row r="14" ht="22" customHeight="1">
      <c r="A14" s="8" t="inlineStr">
        <is>
          <t>TXN</t>
        </is>
      </c>
      <c r="B14" s="9" t="n">
        <v>18.3</v>
      </c>
      <c r="C14" s="10" t="n">
        <v>0.1</v>
      </c>
      <c r="D14" s="10" t="n">
        <v>0.58</v>
      </c>
      <c r="E14" s="9" t="n">
        <v>8.5</v>
      </c>
      <c r="F14" s="10" t="n">
        <v>0.464</v>
      </c>
      <c r="G14" s="11" t="n">
        <v>255</v>
      </c>
      <c r="H14" s="11" t="n">
        <v>265</v>
      </c>
      <c r="I14" s="12" t="n">
        <v>12.3</v>
      </c>
      <c r="J14" s="12" t="n">
        <v>30</v>
      </c>
      <c r="K14" s="12" t="n">
        <v>33</v>
      </c>
      <c r="L14" s="12" t="n">
        <v>28</v>
      </c>
    </row>
    <row r="15" ht="22" customHeight="1"/>
    <row r="16" ht="22" customHeight="1">
      <c r="A16" s="13" t="inlineStr">
        <is>
          <t>Maximum</t>
        </is>
      </c>
      <c r="B16" s="14" t="n"/>
      <c r="C16" s="15">
        <f>MAX(C7:C14)</f>
        <v/>
      </c>
      <c r="D16" s="15">
        <f>MAX(D7:D14)</f>
        <v/>
      </c>
      <c r="E16" s="14" t="n"/>
      <c r="F16" s="15">
        <f>MAX(F7:F14)</f>
        <v/>
      </c>
      <c r="G16" s="14" t="n"/>
      <c r="H16" s="14" t="n"/>
      <c r="I16" s="16">
        <f>MAX(I7:I14)</f>
        <v/>
      </c>
      <c r="J16" s="16">
        <f>MAX(J7:J14)</f>
        <v/>
      </c>
      <c r="K16" s="16">
        <f>MAX(K7:K14)</f>
        <v/>
      </c>
      <c r="L16" s="16">
        <f>MAX(L7:L14)</f>
        <v/>
      </c>
    </row>
    <row r="17" ht="22" customHeight="1">
      <c r="A17" s="13" t="inlineStr">
        <is>
          <t>75th Percentile</t>
        </is>
      </c>
      <c r="B17" s="14" t="n"/>
      <c r="C17" s="15">
        <f>QUARTILE(C7:C14,3)</f>
        <v/>
      </c>
      <c r="D17" s="15">
        <f>QUARTILE(D7:D14,3)</f>
        <v/>
      </c>
      <c r="E17" s="14" t="n"/>
      <c r="F17" s="15">
        <f>QUARTILE(F7:F14,3)</f>
        <v/>
      </c>
      <c r="G17" s="14" t="n"/>
      <c r="H17" s="14" t="n"/>
      <c r="I17" s="16">
        <f>QUARTILE(I7:I14,3)</f>
        <v/>
      </c>
      <c r="J17" s="16">
        <f>QUARTILE(J7:J14,3)</f>
        <v/>
      </c>
      <c r="K17" s="16">
        <f>QUARTILE(K7:K14,3)</f>
        <v/>
      </c>
      <c r="L17" s="16">
        <f>QUARTILE(L7:L14,3)</f>
        <v/>
      </c>
    </row>
    <row r="18" ht="22" customHeight="1">
      <c r="A18" s="13" t="inlineStr">
        <is>
          <t>Median</t>
        </is>
      </c>
      <c r="B18" s="14" t="n"/>
      <c r="C18" s="15">
        <f>MEDIAN(C7:C14)</f>
        <v/>
      </c>
      <c r="D18" s="15">
        <f>MEDIAN(D7:D14)</f>
        <v/>
      </c>
      <c r="E18" s="14" t="n"/>
      <c r="F18" s="15">
        <f>MEDIAN(F7:F14)</f>
        <v/>
      </c>
      <c r="G18" s="14" t="n"/>
      <c r="H18" s="14" t="n"/>
      <c r="I18" s="16">
        <f>MEDIAN(I7:I14)</f>
        <v/>
      </c>
      <c r="J18" s="16">
        <f>MEDIAN(J7:J14)</f>
        <v/>
      </c>
      <c r="K18" s="16">
        <f>MEDIAN(K7:K14)</f>
        <v/>
      </c>
      <c r="L18" s="16">
        <f>MEDIAN(L7:L14)</f>
        <v/>
      </c>
    </row>
    <row r="19" ht="22" customHeight="1">
      <c r="A19" s="13" t="inlineStr">
        <is>
          <t>25th Percentile</t>
        </is>
      </c>
      <c r="B19" s="14" t="n"/>
      <c r="C19" s="15">
        <f>QUARTILE(C7:C14,1)</f>
        <v/>
      </c>
      <c r="D19" s="15">
        <f>QUARTILE(D7:D14,1)</f>
        <v/>
      </c>
      <c r="E19" s="14" t="n"/>
      <c r="F19" s="15">
        <f>QUARTILE(F7:F14,1)</f>
        <v/>
      </c>
      <c r="G19" s="14" t="n"/>
      <c r="H19" s="14" t="n"/>
      <c r="I19" s="16">
        <f>QUARTILE(I7:I14,1)</f>
        <v/>
      </c>
      <c r="J19" s="16">
        <f>QUARTILE(J7:J14,1)</f>
        <v/>
      </c>
      <c r="K19" s="16">
        <f>QUARTILE(K7:K14,1)</f>
        <v/>
      </c>
      <c r="L19" s="16">
        <f>QUARTILE(L7:L14,1)</f>
        <v/>
      </c>
    </row>
    <row r="20" ht="22" customHeight="1">
      <c r="A20" s="13" t="inlineStr">
        <is>
          <t>Minimum</t>
        </is>
      </c>
      <c r="B20" s="14" t="n"/>
      <c r="C20" s="15">
        <f>MIN(C7:C14)</f>
        <v/>
      </c>
      <c r="D20" s="15">
        <f>MIN(D7:D14)</f>
        <v/>
      </c>
      <c r="E20" s="14" t="n"/>
      <c r="F20" s="15">
        <f>MIN(F7:F14)</f>
        <v/>
      </c>
      <c r="G20" s="14" t="n"/>
      <c r="H20" s="14" t="n"/>
      <c r="I20" s="16">
        <f>MIN(I7:I14)</f>
        <v/>
      </c>
      <c r="J20" s="16">
        <f>MIN(J7:J14)</f>
        <v/>
      </c>
      <c r="K20" s="16">
        <f>MIN(K7:K14)</f>
        <v/>
      </c>
      <c r="L20" s="16">
        <f>MIN(L7:L14)</f>
        <v/>
      </c>
    </row>
    <row r="21" ht="22" customHeight="1"/>
    <row r="22" ht="22" customHeight="1">
      <c r="A22" s="5" t="inlineStr">
        <is>
          <t>VALUATION MULTIPLES &amp; INVESTMENT METRICS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22" customHeight="1">
      <c r="A23" s="7" t="inlineStr">
        <is>
          <t>Company</t>
        </is>
      </c>
      <c r="B23" s="7" t="inlineStr">
        <is>
          <t>Market Cap ($B)</t>
        </is>
      </c>
      <c r="C23" s="7" t="inlineStr">
        <is>
          <t>Enterprise Value ($B)</t>
        </is>
      </c>
      <c r="D23" s="7" t="inlineStr">
        <is>
          <t>EV/Revenue (x)</t>
        </is>
      </c>
      <c r="E23" s="7" t="inlineStr">
        <is>
          <t>EV/EBITDA (x)</t>
        </is>
      </c>
      <c r="F23" s="7" t="inlineStr">
        <is>
          <t>P/E (TTM, x)</t>
        </is>
      </c>
      <c r="G23" s="7" t="inlineStr">
        <is>
          <t>Forward P/E (x)</t>
        </is>
      </c>
      <c r="H23" s="7" t="inlineStr">
        <is>
          <t>EV/EBITDA vs 10Y Median</t>
        </is>
      </c>
      <c r="I23" s="7" t="inlineStr">
        <is>
          <t>PEG Ratio</t>
        </is>
      </c>
      <c r="J23" s="7" t="inlineStr">
        <is>
          <t>Revenue ($B)</t>
        </is>
      </c>
      <c r="K23" s="7" t="inlineStr">
        <is>
          <t>EBITDA ($B)</t>
        </is>
      </c>
      <c r="L23" s="7" t="inlineStr">
        <is>
          <t>EBITDA Margin %</t>
        </is>
      </c>
    </row>
    <row r="24" ht="22" customHeight="1">
      <c r="A24" s="8">
        <f>A7</f>
        <v/>
      </c>
      <c r="B24" s="17">
        <f>G7</f>
        <v/>
      </c>
      <c r="C24" s="17">
        <f>H7</f>
        <v/>
      </c>
      <c r="D24" s="18">
        <f>C24/J24</f>
        <v/>
      </c>
      <c r="E24" s="18">
        <f>C24/K24</f>
        <v/>
      </c>
      <c r="F24" s="18">
        <f>K7</f>
        <v/>
      </c>
      <c r="G24" s="18">
        <f>L7</f>
        <v/>
      </c>
      <c r="H24" s="10" t="n">
        <v>-0.18</v>
      </c>
      <c r="I24" s="19" t="n">
        <v>0.67</v>
      </c>
      <c r="J24" s="20">
        <f>B7</f>
        <v/>
      </c>
      <c r="K24" s="20">
        <f>E7</f>
        <v/>
      </c>
      <c r="L24" s="21">
        <f>F7</f>
        <v/>
      </c>
    </row>
    <row r="25" ht="22" customHeight="1">
      <c r="A25" s="8">
        <f>A8</f>
        <v/>
      </c>
      <c r="B25" s="17">
        <f>G8</f>
        <v/>
      </c>
      <c r="C25" s="17">
        <f>H8</f>
        <v/>
      </c>
      <c r="D25" s="18">
        <f>C25/J25</f>
        <v/>
      </c>
      <c r="E25" s="18">
        <f>C25/K25</f>
        <v/>
      </c>
      <c r="F25" s="18">
        <f>K8</f>
        <v/>
      </c>
      <c r="G25" s="18">
        <f>L8</f>
        <v/>
      </c>
      <c r="H25" s="10" t="n">
        <v>0.86</v>
      </c>
      <c r="I25" s="19" t="n">
        <v>2.3</v>
      </c>
      <c r="J25" s="20">
        <f>B8</f>
        <v/>
      </c>
      <c r="K25" s="20">
        <f>E8</f>
        <v/>
      </c>
      <c r="L25" s="21">
        <f>F8</f>
        <v/>
      </c>
    </row>
    <row r="26" ht="22" customHeight="1">
      <c r="A26" s="8">
        <f>A9</f>
        <v/>
      </c>
      <c r="B26" s="17">
        <f>G9</f>
        <v/>
      </c>
      <c r="C26" s="17">
        <f>H9</f>
        <v/>
      </c>
      <c r="D26" s="18">
        <f>C26/J26</f>
        <v/>
      </c>
      <c r="E26" s="18">
        <f>C26/K26</f>
        <v/>
      </c>
      <c r="F26" s="18">
        <f>K9</f>
        <v/>
      </c>
      <c r="G26" s="18">
        <f>L9</f>
        <v/>
      </c>
      <c r="H26" s="10" t="n">
        <v>0.88</v>
      </c>
      <c r="I26" s="19" t="n">
        <v>3.02</v>
      </c>
      <c r="J26" s="20">
        <f>B9</f>
        <v/>
      </c>
      <c r="K26" s="20">
        <f>E9</f>
        <v/>
      </c>
      <c r="L26" s="21">
        <f>F9</f>
        <v/>
      </c>
    </row>
    <row r="27" ht="22" customHeight="1">
      <c r="A27" s="8">
        <f>A10</f>
        <v/>
      </c>
      <c r="B27" s="17">
        <f>G10</f>
        <v/>
      </c>
      <c r="C27" s="17">
        <f>H10</f>
        <v/>
      </c>
      <c r="D27" s="18">
        <f>C27/J27</f>
        <v/>
      </c>
      <c r="E27" s="18">
        <f>C27/K27</f>
        <v/>
      </c>
      <c r="F27" s="18">
        <f>K10</f>
        <v/>
      </c>
      <c r="G27" s="18">
        <f>L10</f>
        <v/>
      </c>
      <c r="H27" s="10" t="n">
        <v>0.15</v>
      </c>
      <c r="I27" s="19" t="n">
        <v>0.91</v>
      </c>
      <c r="J27" s="20">
        <f>B10</f>
        <v/>
      </c>
      <c r="K27" s="20">
        <f>E10</f>
        <v/>
      </c>
      <c r="L27" s="21">
        <f>F10</f>
        <v/>
      </c>
    </row>
    <row r="28" ht="22" customHeight="1">
      <c r="A28" s="8">
        <f>A11</f>
        <v/>
      </c>
      <c r="B28" s="17">
        <f>G11</f>
        <v/>
      </c>
      <c r="C28" s="17">
        <f>H11</f>
        <v/>
      </c>
      <c r="D28" s="18">
        <f>C28/J28</f>
        <v/>
      </c>
      <c r="E28" s="18">
        <f>C28/K28</f>
        <v/>
      </c>
      <c r="F28" s="18">
        <f>K11</f>
        <v/>
      </c>
      <c r="G28" s="18">
        <f>L11</f>
        <v/>
      </c>
      <c r="H28" s="10" t="n">
        <v>6.43</v>
      </c>
      <c r="I28" s="19" t="n">
        <v>14.51</v>
      </c>
      <c r="J28" s="20">
        <f>B11</f>
        <v/>
      </c>
      <c r="K28" s="20">
        <f>E11</f>
        <v/>
      </c>
      <c r="L28" s="21">
        <f>F11</f>
        <v/>
      </c>
    </row>
    <row r="29" ht="22" customHeight="1">
      <c r="A29" s="8">
        <f>A12</f>
        <v/>
      </c>
      <c r="B29" s="17">
        <f>G12</f>
        <v/>
      </c>
      <c r="C29" s="17">
        <f>H12</f>
        <v/>
      </c>
      <c r="D29" s="18">
        <f>C29/J29</f>
        <v/>
      </c>
      <c r="E29" s="18">
        <f>C29/K29</f>
        <v/>
      </c>
      <c r="F29" s="18">
        <f>K12</f>
        <v/>
      </c>
      <c r="G29" s="18">
        <f>L12</f>
        <v/>
      </c>
      <c r="H29" s="10" t="n">
        <v>-0.1</v>
      </c>
      <c r="I29" s="19" t="n">
        <v>0.73</v>
      </c>
      <c r="J29" s="20">
        <f>B12</f>
        <v/>
      </c>
      <c r="K29" s="20">
        <f>E12</f>
        <v/>
      </c>
      <c r="L29" s="21">
        <f>F12</f>
        <v/>
      </c>
    </row>
    <row r="30">
      <c r="A30" s="8">
        <f>A13</f>
        <v/>
      </c>
      <c r="B30" s="17">
        <f>G13</f>
        <v/>
      </c>
      <c r="C30" s="17">
        <f>H13</f>
        <v/>
      </c>
      <c r="D30" s="18">
        <f>C30/J30</f>
        <v/>
      </c>
      <c r="E30" s="18">
        <f>C30/K30</f>
        <v/>
      </c>
      <c r="F30" s="18">
        <f>K13</f>
        <v/>
      </c>
      <c r="G30" s="18">
        <f>L13</f>
        <v/>
      </c>
      <c r="H30" s="10" t="n">
        <v>2</v>
      </c>
      <c r="I30" s="19" t="n">
        <v>6.32</v>
      </c>
      <c r="J30" s="20">
        <f>B13</f>
        <v/>
      </c>
      <c r="K30" s="20">
        <f>E13</f>
        <v/>
      </c>
      <c r="L30" s="21">
        <f>F13</f>
        <v/>
      </c>
    </row>
    <row r="31">
      <c r="A31" s="8">
        <f>A14</f>
        <v/>
      </c>
      <c r="B31" s="17">
        <f>G14</f>
        <v/>
      </c>
      <c r="C31" s="17">
        <f>H14</f>
        <v/>
      </c>
      <c r="D31" s="18">
        <f>C31/J31</f>
        <v/>
      </c>
      <c r="E31" s="18">
        <f>C31/K31</f>
        <v/>
      </c>
      <c r="F31" s="18">
        <f>K14</f>
        <v/>
      </c>
      <c r="G31" s="18">
        <f>L14</f>
        <v/>
      </c>
      <c r="H31" s="10" t="n">
        <v>0.91</v>
      </c>
      <c r="I31" s="19" t="n">
        <v>3.3</v>
      </c>
      <c r="J31" s="20">
        <f>B14</f>
        <v/>
      </c>
      <c r="K31" s="20">
        <f>E14</f>
        <v/>
      </c>
      <c r="L31" s="21">
        <f>F14</f>
        <v/>
      </c>
    </row>
    <row r="33">
      <c r="A33" s="13" t="inlineStr">
        <is>
          <t>Maximum</t>
        </is>
      </c>
      <c r="B33" s="14" t="n"/>
      <c r="C33" s="14" t="n"/>
      <c r="D33" s="16">
        <f>MAX(D24:D31)</f>
        <v/>
      </c>
      <c r="E33" s="16">
        <f>MAX(E24:E31)</f>
        <v/>
      </c>
      <c r="F33" s="16">
        <f>MAX(F24:F31)</f>
        <v/>
      </c>
      <c r="G33" s="16">
        <f>MAX(G24:G31)</f>
        <v/>
      </c>
      <c r="H33" s="15">
        <f>MAX(H24:H31)</f>
        <v/>
      </c>
      <c r="I33" s="22">
        <f>MAX(I24:I31)</f>
        <v/>
      </c>
      <c r="J33" s="14" t="n"/>
      <c r="K33" s="14" t="n"/>
      <c r="L33" s="15">
        <f>MAX(L24:L31)</f>
        <v/>
      </c>
    </row>
    <row r="34">
      <c r="A34" s="13" t="inlineStr">
        <is>
          <t>75th Percentile</t>
        </is>
      </c>
      <c r="B34" s="14" t="n"/>
      <c r="C34" s="14" t="n"/>
      <c r="D34" s="16">
        <f>QUARTILE(D24:D31,3)</f>
        <v/>
      </c>
      <c r="E34" s="16">
        <f>QUARTILE(E24:E31,3)</f>
        <v/>
      </c>
      <c r="F34" s="16">
        <f>QUARTILE(F24:F31,3)</f>
        <v/>
      </c>
      <c r="G34" s="16">
        <f>QUARTILE(G24:G31,3)</f>
        <v/>
      </c>
      <c r="H34" s="15">
        <f>QUARTILE(H24:H31,3)</f>
        <v/>
      </c>
      <c r="I34" s="22">
        <f>QUARTILE(I24:I31,3)</f>
        <v/>
      </c>
      <c r="J34" s="14" t="n"/>
      <c r="K34" s="14" t="n"/>
      <c r="L34" s="15">
        <f>QUARTILE(L24:L31,3)</f>
        <v/>
      </c>
    </row>
    <row r="35">
      <c r="A35" s="13" t="inlineStr">
        <is>
          <t>Median</t>
        </is>
      </c>
      <c r="B35" s="14" t="n"/>
      <c r="C35" s="14" t="n"/>
      <c r="D35" s="16">
        <f>MEDIAN(D24:D31)</f>
        <v/>
      </c>
      <c r="E35" s="16">
        <f>MEDIAN(E24:E31)</f>
        <v/>
      </c>
      <c r="F35" s="16">
        <f>MEDIAN(F24:F31)</f>
        <v/>
      </c>
      <c r="G35" s="16">
        <f>MEDIAN(G24:G31)</f>
        <v/>
      </c>
      <c r="H35" s="15">
        <f>MEDIAN(H24:H31)</f>
        <v/>
      </c>
      <c r="I35" s="22">
        <f>MEDIAN(I24:I31)</f>
        <v/>
      </c>
      <c r="J35" s="14" t="n"/>
      <c r="K35" s="14" t="n"/>
      <c r="L35" s="15">
        <f>MEDIAN(L24:L31)</f>
        <v/>
      </c>
    </row>
    <row r="36">
      <c r="A36" s="13" t="inlineStr">
        <is>
          <t>25th Percentile</t>
        </is>
      </c>
      <c r="B36" s="14" t="n"/>
      <c r="C36" s="14" t="n"/>
      <c r="D36" s="16">
        <f>QUARTILE(D24:D31,1)</f>
        <v/>
      </c>
      <c r="E36" s="16">
        <f>QUARTILE(E24:E31,1)</f>
        <v/>
      </c>
      <c r="F36" s="16">
        <f>QUARTILE(F24:F31,1)</f>
        <v/>
      </c>
      <c r="G36" s="16">
        <f>QUARTILE(G24:G31,1)</f>
        <v/>
      </c>
      <c r="H36" s="15">
        <f>QUARTILE(H24:H31,1)</f>
        <v/>
      </c>
      <c r="I36" s="22">
        <f>QUARTILE(I24:I31,1)</f>
        <v/>
      </c>
      <c r="J36" s="14" t="n"/>
      <c r="K36" s="14" t="n"/>
      <c r="L36" s="15">
        <f>QUARTILE(L24:L31,1)</f>
        <v/>
      </c>
    </row>
    <row r="37">
      <c r="A37" s="13" t="inlineStr">
        <is>
          <t>Minimum</t>
        </is>
      </c>
      <c r="B37" s="14" t="n"/>
      <c r="C37" s="14" t="n"/>
      <c r="D37" s="16">
        <f>MIN(D24:D31)</f>
        <v/>
      </c>
      <c r="E37" s="16">
        <f>MIN(E24:E31)</f>
        <v/>
      </c>
      <c r="F37" s="16">
        <f>MIN(F24:F31)</f>
        <v/>
      </c>
      <c r="G37" s="16">
        <f>MIN(G24:G31)</f>
        <v/>
      </c>
      <c r="H37" s="15">
        <f>MIN(H24:H31)</f>
        <v/>
      </c>
      <c r="I37" s="22">
        <f>MIN(I24:I31)</f>
        <v/>
      </c>
      <c r="J37" s="14" t="n"/>
      <c r="K37" s="14" t="n"/>
      <c r="L37" s="15">
        <f>MIN(L24:L31)</f>
        <v/>
      </c>
    </row>
    <row r="39">
      <c r="A39" s="5" t="inlineStr">
        <is>
          <t>NOTES &amp; METHODOLOGY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23" t="inlineStr">
        <is>
          <t>Data Date: As of approximately May 9, 2026. All figures in USD Billions unless otherwise noted.</t>
        </is>
      </c>
    </row>
    <row r="41">
      <c r="A41" s="23" t="inlineStr">
        <is>
          <t>Data Sources: Yahoo Finance (key statistics), GuruFocus (EV, EBITDA, multiples), FinanceCharts (PE, EV/EBITDA),</t>
        </is>
      </c>
    </row>
    <row r="42">
      <c r="A42" s="23" t="inlineStr">
        <is>
          <t xml:space="preserve">   Finbox (5Y averages), Macrotrends (PE, market cap), FullRatio (PE), Seeking Alpha (PEG).</t>
        </is>
      </c>
    </row>
    <row r="43">
      <c r="A43" s="23" t="inlineStr">
        <is>
          <t>EBITDA: Trailing twelve months (TTM) as reported by each company's most recent fiscal year/quarter.</t>
        </is>
      </c>
    </row>
    <row r="44">
      <c r="A44" s="23" t="inlineStr">
        <is>
          <t>Enterprise Value: Market Cap + Total Debt - Total Cash (per GuruFocus/Yahoo Finance methodology).</t>
        </is>
      </c>
    </row>
    <row r="45">
      <c r="A45" s="23" t="inlineStr">
        <is>
          <t>P/E (TTM): Price-to-Earnings based on trailing twelve-month EPS. INTC trailing PE is negative (net losses).</t>
        </is>
      </c>
    </row>
    <row r="46">
      <c r="A46" s="23" t="inlineStr">
        <is>
          <t>Forward P/E: Based on consensus analyst EPS estimates for next 12 months.</t>
        </is>
      </c>
    </row>
    <row r="47">
      <c r="A47" s="23" t="inlineStr">
        <is>
          <t>PEG Ratio: Calculated as P/E (TTM) / Revenue Growth Rate (YoY %). Values &lt; 1.0 suggest undervaluation relative to growth.</t>
        </is>
      </c>
    </row>
    <row r="48">
      <c r="A48" s="23" t="inlineStr">
        <is>
          <t>EV/EBITDA vs 10Y Median: Percentage deviation from each company's own 10-year EV/EBITDA median (GuruFocus).</t>
        </is>
      </c>
    </row>
    <row r="49">
      <c r="A49" s="23" t="inlineStr">
        <is>
          <t>Key Observations:</t>
        </is>
      </c>
    </row>
    <row r="50">
      <c r="A50" s="23" t="inlineStr">
        <is>
          <t xml:space="preserve">  - NVDA dominates peer group with $215.9B TTM revenue, 65% YoY growth, and 66.9% EBITDA margin.</t>
        </is>
      </c>
    </row>
    <row r="51">
      <c r="A51" s="23" t="inlineStr">
        <is>
          <t xml:space="preserve">  - ARM trades at extreme premiums (EV/EBITDA ~200x, P/E ~250x) reflecting IP licensing model + AI growth expectations.</t>
        </is>
      </c>
    </row>
    <row r="52">
      <c r="A52" s="23" t="inlineStr">
        <is>
          <t xml:space="preserve">  - INTC shows negative trailing PE (net losses); fwd PE of 101.6x reflects turnaround speculation.</t>
        </is>
      </c>
    </row>
    <row r="53">
      <c r="A53" s="23" t="inlineStr">
        <is>
          <t xml:space="preserve">  - QCOM appears most attractively valued with P/E of 13.7x and fwd PE of 13.0x — mature, profitable business.</t>
        </is>
      </c>
    </row>
    <row r="54">
      <c r="A54" s="23" t="inlineStr">
        <is>
          <t xml:space="preserve">  - MRVL PEG of 0.73 suggests potential undervaluation relative to its 42% growth rate.</t>
        </is>
      </c>
    </row>
    <row r="55">
      <c r="A55" s="23" t="inlineStr">
        <is>
          <t xml:space="preserve">  - Peer median EV/Revenue: ~12x; median EV/EBITDA: ~35x; median P/E: ~48x.</t>
        </is>
      </c>
    </row>
    <row r="56">
      <c r="A56" s="23" t="inlineStr">
        <is>
          <t>Disclaimer: This analysis is for informational purposes only and does not constitute investment advice.</t>
        </is>
      </c>
    </row>
  </sheetData>
  <mergeCells count="23">
    <mergeCell ref="A54:L54"/>
    <mergeCell ref="A41:L41"/>
    <mergeCell ref="A46:L46"/>
    <mergeCell ref="A56:L56"/>
    <mergeCell ref="A3:L3"/>
    <mergeCell ref="A55:L55"/>
    <mergeCell ref="A50:L50"/>
    <mergeCell ref="A2:L2"/>
    <mergeCell ref="A42:L42"/>
    <mergeCell ref="A47:L47"/>
    <mergeCell ref="A5:L5"/>
    <mergeCell ref="A22:L22"/>
    <mergeCell ref="A53:L53"/>
    <mergeCell ref="A52:L52"/>
    <mergeCell ref="A43:L43"/>
    <mergeCell ref="A44:L44"/>
    <mergeCell ref="A40:L40"/>
    <mergeCell ref="A39:L39"/>
    <mergeCell ref="A48:L48"/>
    <mergeCell ref="A49:L49"/>
    <mergeCell ref="A51:L51"/>
    <mergeCell ref="A1:L1"/>
    <mergeCell ref="A45:L4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2026-05-10T12:20:24Z</dcterms:created>
  <dcterms:modified xmlns:dcterms="http://purl.org/dc/terms/" xmlns:xsi="http://www.w3.org/2001/XMLSchema-instance" xsi:type="dcterms:W3CDTF">2026-05-10T12:20:24Z</dcterms:modified>
</cp:coreProperties>
</file>