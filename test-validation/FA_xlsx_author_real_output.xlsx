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资产负债表" sheetId="3" state="visible" r:id="rId3"/>
    <sheet xmlns:r="http://schemas.openxmlformats.org/officeDocument/2006/relationships" name="现金流量表" sheetId="4" state="visible" r:id="rId4"/>
    <sheet xmlns:r="http://schemas.openxmlformats.org/officeDocument/2006/relationships" name="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000000"/>
      <sz val="14"/>
    </font>
    <font>
      <i val="1"/>
      <color rgb="00666666"/>
    </font>
    <font>
      <b val="1"/>
      <color rgb="00000000"/>
      <sz val="11"/>
    </font>
    <font>
      <color rgb="000000FF"/>
    </font>
    <font>
      <color rgb="00008000"/>
    </font>
    <font>
      <color rgb="00000000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0" borderId="1" pivotButton="0" quotePrefix="0" xfId="0"/>
    <xf numFmtId="0" fontId="3" fillId="3" borderId="1" pivotButton="0" quotePrefix="0" xfId="0"/>
    <xf numFmtId="0" fontId="0" fillId="0" borderId="1" pivotButton="0" quotePrefix="0" xfId="0"/>
    <xf numFmtId="3" fontId="4" fillId="0" borderId="1" pivotButton="0" quotePrefix="0" xfId="0"/>
    <xf numFmtId="3" fontId="5" fillId="0" borderId="1" pivotButton="0" quotePrefix="0" xfId="0"/>
    <xf numFmtId="164" fontId="6" fillId="0" borderId="1" pivotButton="0" quotePrefix="0" xfId="0"/>
    <xf numFmtId="0" fontId="7" fillId="0" borderId="1" pivotButton="0" quotePrefix="0" xfId="0"/>
    <xf numFmtId="3" fontId="6" fillId="0" borderId="1" pivotButton="0" quotePrefix="0" xfId="0"/>
    <xf numFmtId="4" fontId="6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22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  <col width="18" customWidth="1" min="5" max="5"/>
  </cols>
  <sheetData>
    <row r="1">
      <c r="B1" s="1" t="inlineStr">
        <is>
          <t>AAPL 三表联动模型 - 输入数据</t>
        </is>
      </c>
      <c r="C1" s="2" t="n"/>
      <c r="D1" s="2" t="n"/>
      <c r="E1" s="3" t="n"/>
    </row>
    <row r="2">
      <c r="B2" s="4" t="inlineStr">
        <is>
          <t>单位：百万美元（股数为百万股，EPS为美元）</t>
        </is>
      </c>
      <c r="C2" s="2" t="n"/>
      <c r="D2" s="2" t="n"/>
      <c r="E2" s="3" t="n"/>
    </row>
    <row r="4">
      <c r="B4" s="5" t="inlineStr">
        <is>
          <t>[利润表]</t>
        </is>
      </c>
      <c r="C4" s="5" t="n"/>
      <c r="D4" s="5" t="n"/>
      <c r="E4" s="5" t="n"/>
    </row>
    <row r="5">
      <c r="B5" s="5" t="inlineStr">
        <is>
          <t>项目</t>
        </is>
      </c>
      <c r="C5" s="5" t="inlineStr">
        <is>
          <t>FY2023</t>
        </is>
      </c>
      <c r="D5" s="5" t="inlineStr">
        <is>
          <t>FY2024</t>
        </is>
      </c>
      <c r="E5" s="5" t="inlineStr">
        <is>
          <t>FY2025</t>
        </is>
      </c>
    </row>
    <row r="6">
      <c r="B6" s="6" t="inlineStr">
        <is>
          <t>收入 (Revenue)</t>
        </is>
      </c>
      <c r="C6" s="7" t="n">
        <v>383285</v>
      </c>
      <c r="D6" s="7" t="n">
        <v>391035</v>
      </c>
      <c r="E6" s="7" t="n">
        <v>416178</v>
      </c>
    </row>
    <row r="7">
      <c r="B7" s="6" t="inlineStr">
        <is>
          <t>营业成本 (COGS)</t>
        </is>
      </c>
      <c r="C7" s="7" t="n">
        <v>214138</v>
      </c>
      <c r="D7" s="7" t="n">
        <v>210352</v>
      </c>
      <c r="E7" s="7" t="n">
        <v>133088</v>
      </c>
    </row>
    <row r="9">
      <c r="B9" s="5" t="inlineStr">
        <is>
          <t>[资产负债表]</t>
        </is>
      </c>
      <c r="C9" s="5" t="n"/>
      <c r="D9" s="5" t="n"/>
      <c r="E9" s="5" t="n"/>
    </row>
    <row r="10">
      <c r="B10" s="5" t="inlineStr">
        <is>
          <t>项目</t>
        </is>
      </c>
      <c r="C10" s="5" t="inlineStr">
        <is>
          <t>FY2023</t>
        </is>
      </c>
      <c r="D10" s="5" t="inlineStr">
        <is>
          <t>FY2024</t>
        </is>
      </c>
      <c r="E10" s="5" t="inlineStr">
        <is>
          <t>FY2025</t>
        </is>
      </c>
    </row>
    <row r="11">
      <c r="B11" s="6" t="inlineStr">
        <is>
          <t>总资产 (Total Assets)</t>
        </is>
      </c>
      <c r="C11" s="7" t="n">
        <v>352583</v>
      </c>
      <c r="D11" s="7" t="n">
        <v>364980</v>
      </c>
      <c r="E11" s="7" t="n">
        <v>359241</v>
      </c>
    </row>
    <row r="12">
      <c r="B12" s="6" t="inlineStr">
        <is>
          <t>总负债 (Total Liabilities)</t>
        </is>
      </c>
      <c r="C12" s="7" t="n">
        <v>290437</v>
      </c>
      <c r="D12" s="7" t="n">
        <v>308030</v>
      </c>
      <c r="E12" s="7" t="n">
        <v>285508</v>
      </c>
    </row>
    <row r="14">
      <c r="B14" s="5" t="inlineStr">
        <is>
          <t>[现金流量表]</t>
        </is>
      </c>
      <c r="C14" s="5" t="n"/>
      <c r="D14" s="5" t="n"/>
      <c r="E14" s="5" t="n"/>
    </row>
    <row r="15">
      <c r="B15" s="5" t="inlineStr">
        <is>
          <t>项目</t>
        </is>
      </c>
      <c r="C15" s="5" t="inlineStr">
        <is>
          <t>FY2023</t>
        </is>
      </c>
      <c r="D15" s="5" t="inlineStr">
        <is>
          <t>FY2024</t>
        </is>
      </c>
      <c r="E15" s="5" t="inlineStr">
        <is>
          <t>FY2025</t>
        </is>
      </c>
    </row>
    <row r="16">
      <c r="B16" s="6" t="inlineStr">
        <is>
          <t>经营现金流 (Operating CF)</t>
        </is>
      </c>
      <c r="C16" s="7" t="n">
        <v>118254</v>
      </c>
      <c r="D16" s="7" t="n">
        <v>111482</v>
      </c>
      <c r="E16" s="7" t="n">
        <v>140222</v>
      </c>
    </row>
    <row r="17">
      <c r="B17" s="6" t="inlineStr">
        <is>
          <t>资本支出 (CapEx)</t>
        </is>
      </c>
      <c r="C17" s="7" t="n">
        <v>-10959</v>
      </c>
      <c r="D17" s="7" t="n">
        <v>-9445</v>
      </c>
      <c r="E17" s="7" t="n">
        <v>-12720</v>
      </c>
    </row>
    <row r="19">
      <c r="B19" s="5" t="inlineStr">
        <is>
          <t>[其他指标]</t>
        </is>
      </c>
      <c r="C19" s="5" t="n"/>
      <c r="D19" s="5" t="n"/>
      <c r="E19" s="5" t="n"/>
    </row>
    <row r="20">
      <c r="B20" s="5" t="inlineStr">
        <is>
          <t>项目</t>
        </is>
      </c>
      <c r="C20" s="5" t="inlineStr">
        <is>
          <t>FY2023</t>
        </is>
      </c>
      <c r="D20" s="5" t="inlineStr">
        <is>
          <t>FY2024</t>
        </is>
      </c>
      <c r="E20" s="5" t="inlineStr">
        <is>
          <t>FY2025</t>
        </is>
      </c>
    </row>
    <row r="21">
      <c r="B21" s="6" t="inlineStr">
        <is>
          <t>稀释股数 (百万)</t>
        </is>
      </c>
      <c r="C21" s="7" t="n">
        <v>15813</v>
      </c>
      <c r="D21" s="7" t="n">
        <v>15408</v>
      </c>
      <c r="E21" s="7" t="n">
        <v>14939</v>
      </c>
    </row>
    <row r="22">
      <c r="B22" s="6" t="inlineStr">
        <is>
          <t>净利润 (Net Income)</t>
        </is>
      </c>
      <c r="C22" s="7" t="n">
        <v>96995</v>
      </c>
      <c r="D22" s="7" t="n">
        <v>93736</v>
      </c>
      <c r="E22" s="7" t="n">
        <v>112010</v>
      </c>
    </row>
  </sheetData>
  <mergeCells count="2">
    <mergeCell ref="B1:E1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7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B1" s="1" t="inlineStr">
        <is>
          <t>苹果公司 (AAPL) - 利润表</t>
        </is>
      </c>
      <c r="C1" s="2" t="n"/>
      <c r="D1" s="2" t="n"/>
      <c r="E1" s="2" t="n"/>
      <c r="F1" s="3" t="n"/>
    </row>
    <row r="2">
      <c r="B2" s="4" t="inlineStr">
        <is>
          <t>单位：百万美元</t>
        </is>
      </c>
      <c r="C2" s="2" t="n"/>
      <c r="D2" s="2" t="n"/>
      <c r="E2" s="2" t="n"/>
      <c r="F2" s="3" t="n"/>
    </row>
    <row r="4">
      <c r="B4" s="5" t="inlineStr">
        <is>
          <t>项目</t>
        </is>
      </c>
      <c r="C4" s="5" t="inlineStr">
        <is>
          <t>FY2023</t>
        </is>
      </c>
      <c r="D4" s="5" t="inlineStr">
        <is>
          <t>FY2024</t>
        </is>
      </c>
      <c r="E4" s="5" t="inlineStr">
        <is>
          <t>FY2025</t>
        </is>
      </c>
      <c r="F4" s="5" t="inlineStr">
        <is>
          <t>FY2025同比</t>
        </is>
      </c>
    </row>
    <row r="5">
      <c r="B5" s="6" t="inlineStr">
        <is>
          <t>收入 (Revenue)</t>
        </is>
      </c>
      <c r="C5" s="8">
        <f>Inputs!C6</f>
        <v/>
      </c>
      <c r="D5" s="8">
        <f>Inputs!D6</f>
        <v/>
      </c>
      <c r="E5" s="8">
        <f>Inputs!E6</f>
        <v/>
      </c>
      <c r="F5" s="9">
        <f>(E5-D5)/D5</f>
        <v/>
      </c>
    </row>
    <row r="6">
      <c r="B6" s="6" t="inlineStr">
        <is>
          <t>营业成本 (COGS)</t>
        </is>
      </c>
      <c r="C6" s="8">
        <f>Inputs!C7</f>
        <v/>
      </c>
      <c r="D6" s="8">
        <f>Inputs!D7</f>
        <v/>
      </c>
      <c r="E6" s="8">
        <f>Inputs!E7</f>
        <v/>
      </c>
      <c r="F6" s="9">
        <f>(E6-D6)/D6</f>
        <v/>
      </c>
    </row>
    <row r="7">
      <c r="B7" s="10" t="inlineStr">
        <is>
          <t>毛利润 (Gross Profit)</t>
        </is>
      </c>
      <c r="C7" s="11">
        <f>C5-C6</f>
        <v/>
      </c>
      <c r="D7" s="11">
        <f>D5-D6</f>
        <v/>
      </c>
      <c r="E7" s="11">
        <f>E5-E6</f>
        <v/>
      </c>
      <c r="F7" s="9">
        <f>(E7-D7)/D7</f>
        <v/>
      </c>
    </row>
    <row r="8">
      <c r="B8" s="6" t="inlineStr">
        <is>
          <t>毛利率 (Gross Margin)</t>
        </is>
      </c>
      <c r="C8" s="9">
        <f>C7/C5</f>
        <v/>
      </c>
      <c r="D8" s="9">
        <f>D7/D5</f>
        <v/>
      </c>
      <c r="E8" s="9">
        <f>E7/E5</f>
        <v/>
      </c>
    </row>
    <row r="10">
      <c r="B10" s="10" t="inlineStr">
        <is>
          <t>营业利润 (Operating Income)</t>
        </is>
      </c>
      <c r="C10" s="7" t="n">
        <v>114725</v>
      </c>
      <c r="D10" s="7" t="n">
        <v>123487</v>
      </c>
      <c r="E10" s="7" t="n">
        <v>133157</v>
      </c>
      <c r="F10" s="9">
        <f>(E10-D10)/D10</f>
        <v/>
      </c>
    </row>
    <row r="11">
      <c r="B11" s="6" t="inlineStr">
        <is>
          <t>营业利润率 (Operating Margin)</t>
        </is>
      </c>
      <c r="C11" s="9">
        <f>C10/C5</f>
        <v/>
      </c>
      <c r="D11" s="9">
        <f>D10/D5</f>
        <v/>
      </c>
      <c r="E11" s="9">
        <f>E10/E5</f>
        <v/>
      </c>
    </row>
    <row r="13">
      <c r="B13" s="10" t="inlineStr">
        <is>
          <t>净利润 (Net Income)</t>
        </is>
      </c>
      <c r="C13" s="8">
        <f>Inputs!C22</f>
        <v/>
      </c>
      <c r="D13" s="8">
        <f>Inputs!D22</f>
        <v/>
      </c>
      <c r="E13" s="8">
        <f>Inputs!E22</f>
        <v/>
      </c>
      <c r="F13" s="9">
        <f>(E13-D13)/D13</f>
        <v/>
      </c>
    </row>
    <row r="14">
      <c r="B14" s="6" t="inlineStr">
        <is>
          <t>净利润率 (Net Margin)</t>
        </is>
      </c>
      <c r="C14" s="9">
        <f>C13/C5</f>
        <v/>
      </c>
      <c r="D14" s="9">
        <f>D13/D5</f>
        <v/>
      </c>
      <c r="E14" s="9">
        <f>E13/E5</f>
        <v/>
      </c>
    </row>
    <row r="16">
      <c r="B16" s="6" t="inlineStr">
        <is>
          <t>稀释股数 (百万股)</t>
        </is>
      </c>
      <c r="C16" s="8">
        <f>Inputs!C21</f>
        <v/>
      </c>
      <c r="D16" s="8">
        <f>Inputs!D21</f>
        <v/>
      </c>
      <c r="E16" s="8">
        <f>Inputs!E21</f>
        <v/>
      </c>
    </row>
    <row r="17">
      <c r="B17" s="10" t="inlineStr">
        <is>
          <t>稀释EPS (美元/股)</t>
        </is>
      </c>
      <c r="C17" s="12">
        <f>C13/C16</f>
        <v/>
      </c>
      <c r="D17" s="12">
        <f>D13/D16</f>
        <v/>
      </c>
      <c r="E17" s="12">
        <f>E13/E16</f>
        <v/>
      </c>
      <c r="F17" s="9">
        <f>(E17-D17)/D17</f>
        <v/>
      </c>
    </row>
  </sheetData>
  <mergeCells count="2">
    <mergeCell ref="B2:F2"/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3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B1" s="1" t="inlineStr">
        <is>
          <t>苹果公司 (AAPL) - 资产负债表</t>
        </is>
      </c>
      <c r="C1" s="2" t="n"/>
      <c r="D1" s="2" t="n"/>
      <c r="E1" s="2" t="n"/>
      <c r="F1" s="3" t="n"/>
    </row>
    <row r="2">
      <c r="B2" s="4" t="inlineStr">
        <is>
          <t>单位：百万美元</t>
        </is>
      </c>
      <c r="C2" s="2" t="n"/>
      <c r="D2" s="2" t="n"/>
      <c r="E2" s="2" t="n"/>
      <c r="F2" s="3" t="n"/>
    </row>
    <row r="4">
      <c r="B4" s="5" t="inlineStr">
        <is>
          <t>项目</t>
        </is>
      </c>
      <c r="C4" s="5" t="inlineStr">
        <is>
          <t>FY2023</t>
        </is>
      </c>
      <c r="D4" s="5" t="inlineStr">
        <is>
          <t>FY2024</t>
        </is>
      </c>
      <c r="E4" s="5" t="inlineStr">
        <is>
          <t>FY2025</t>
        </is>
      </c>
      <c r="F4" s="5" t="inlineStr">
        <is>
          <t>FY2025同比</t>
        </is>
      </c>
    </row>
    <row r="5">
      <c r="B5" s="10" t="inlineStr">
        <is>
          <t>总资产 (Total Assets)</t>
        </is>
      </c>
      <c r="C5" s="8">
        <f>Inputs!C11</f>
        <v/>
      </c>
      <c r="D5" s="8">
        <f>Inputs!D11</f>
        <v/>
      </c>
      <c r="E5" s="8">
        <f>Inputs!E11</f>
        <v/>
      </c>
      <c r="F5" s="9">
        <f>(E5-D5)/D5</f>
        <v/>
      </c>
    </row>
    <row r="6">
      <c r="B6" s="6" t="inlineStr">
        <is>
          <t>总负债 (Total Liabilities)</t>
        </is>
      </c>
      <c r="C6" s="8">
        <f>Inputs!C12</f>
        <v/>
      </c>
      <c r="D6" s="8">
        <f>Inputs!D12</f>
        <v/>
      </c>
      <c r="E6" s="8">
        <f>Inputs!E12</f>
        <v/>
      </c>
      <c r="F6" s="9">
        <f>(E6-D6)/D6</f>
        <v/>
      </c>
    </row>
    <row r="7">
      <c r="B7" s="10" t="inlineStr">
        <is>
          <t>股东权益 (Shareholders Equity)</t>
        </is>
      </c>
      <c r="C7" s="11">
        <f>C5-C6</f>
        <v/>
      </c>
      <c r="D7" s="11">
        <f>D5-D6</f>
        <v/>
      </c>
      <c r="E7" s="11">
        <f>E5-E6</f>
        <v/>
      </c>
      <c r="F7" s="9">
        <f>(E7-D7)/D7</f>
        <v/>
      </c>
    </row>
    <row r="9">
      <c r="B9" s="4" t="inlineStr">
        <is>
          <t>负债 + 权益（校验）</t>
        </is>
      </c>
      <c r="C9" s="11">
        <f>C6+C7</f>
        <v/>
      </c>
      <c r="D9" s="11">
        <f>D6+D7</f>
        <v/>
      </c>
      <c r="E9" s="11">
        <f>E6+E7</f>
        <v/>
      </c>
    </row>
    <row r="11">
      <c r="B11" s="6" t="inlineStr">
        <is>
          <t>资产负债率</t>
        </is>
      </c>
      <c r="C11" s="9">
        <f>C6/C5</f>
        <v/>
      </c>
      <c r="D11" s="9">
        <f>D6/D5</f>
        <v/>
      </c>
      <c r="E11" s="9">
        <f>E6/E5</f>
        <v/>
      </c>
    </row>
    <row r="12">
      <c r="B12" s="6" t="inlineStr">
        <is>
          <t>ROE (净利润/股东权益)</t>
        </is>
      </c>
      <c r="C12" s="9">
        <f>利润表!C13/C7</f>
        <v/>
      </c>
      <c r="D12" s="9">
        <f>利润表!D13/D7</f>
        <v/>
      </c>
      <c r="E12" s="9">
        <f>利润表!E13/E7</f>
        <v/>
      </c>
    </row>
    <row r="13">
      <c r="B13" s="6" t="inlineStr">
        <is>
          <t>ROA (净利润/总资产)</t>
        </is>
      </c>
      <c r="C13" s="9">
        <f>利润表!C13/C5</f>
        <v/>
      </c>
      <c r="D13" s="9">
        <f>利润表!D13/D5</f>
        <v/>
      </c>
      <c r="E13" s="9">
        <f>利润表!E13/E5</f>
        <v/>
      </c>
    </row>
  </sheetData>
  <mergeCells count="2">
    <mergeCell ref="B2:F2"/>
    <mergeCell ref="B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9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B1" s="1" t="inlineStr">
        <is>
          <t>苹果公司 (AAPL) - 现金流量表</t>
        </is>
      </c>
      <c r="C1" s="2" t="n"/>
      <c r="D1" s="2" t="n"/>
      <c r="E1" s="2" t="n"/>
      <c r="F1" s="3" t="n"/>
    </row>
    <row r="2">
      <c r="B2" s="4" t="inlineStr">
        <is>
          <t>单位：百万美元</t>
        </is>
      </c>
      <c r="C2" s="2" t="n"/>
      <c r="D2" s="2" t="n"/>
      <c r="E2" s="2" t="n"/>
      <c r="F2" s="3" t="n"/>
    </row>
    <row r="4">
      <c r="B4" s="5" t="inlineStr">
        <is>
          <t>项目</t>
        </is>
      </c>
      <c r="C4" s="5" t="inlineStr">
        <is>
          <t>FY2023</t>
        </is>
      </c>
      <c r="D4" s="5" t="inlineStr">
        <is>
          <t>FY2024</t>
        </is>
      </c>
      <c r="E4" s="5" t="inlineStr">
        <is>
          <t>FY2025</t>
        </is>
      </c>
      <c r="F4" s="5" t="inlineStr">
        <is>
          <t>FY2025同比</t>
        </is>
      </c>
    </row>
    <row r="5">
      <c r="B5" s="6" t="inlineStr">
        <is>
          <t>经营现金流 (Operating CF)</t>
        </is>
      </c>
      <c r="C5" s="8">
        <f>Inputs!C16</f>
        <v/>
      </c>
      <c r="D5" s="8">
        <f>Inputs!D16</f>
        <v/>
      </c>
      <c r="E5" s="8">
        <f>Inputs!E16</f>
        <v/>
      </c>
      <c r="F5" s="9">
        <f>(E5-D5)/D5</f>
        <v/>
      </c>
    </row>
    <row r="6">
      <c r="B6" s="6" t="inlineStr">
        <is>
          <t>资本支出 (CapEx)</t>
        </is>
      </c>
      <c r="C6" s="8">
        <f>Inputs!C17</f>
        <v/>
      </c>
      <c r="D6" s="8">
        <f>Inputs!D17</f>
        <v/>
      </c>
      <c r="E6" s="8">
        <f>Inputs!E17</f>
        <v/>
      </c>
      <c r="F6" s="9">
        <f>(E6-D6)/D6</f>
        <v/>
      </c>
    </row>
    <row r="7">
      <c r="B7" s="10" t="inlineStr">
        <is>
          <t>自由现金流 (FCF)</t>
        </is>
      </c>
      <c r="C7" s="11">
        <f>C5+C6</f>
        <v/>
      </c>
      <c r="D7" s="11">
        <f>D5+D6</f>
        <v/>
      </c>
      <c r="E7" s="11">
        <f>E5+E6</f>
        <v/>
      </c>
      <c r="F7" s="9">
        <f>(E7-D7)/D7</f>
        <v/>
      </c>
    </row>
    <row r="8">
      <c r="B8" s="6" t="inlineStr">
        <is>
          <t>FCF利润率 (FCF/Revenue)</t>
        </is>
      </c>
      <c r="C8" s="9">
        <f>C7/利润表!C5</f>
        <v/>
      </c>
      <c r="D8" s="9">
        <f>D7/利润表!D5</f>
        <v/>
      </c>
      <c r="E8" s="9">
        <f>E7/利润表!E5</f>
        <v/>
      </c>
    </row>
    <row r="9">
      <c r="B9" s="6" t="inlineStr">
        <is>
          <t>CapEx/Revenue</t>
        </is>
      </c>
      <c r="C9" s="9">
        <f>C6/利润表!C5</f>
        <v/>
      </c>
      <c r="D9" s="9">
        <f>D6/利润表!D5</f>
        <v/>
      </c>
      <c r="E9" s="9">
        <f>E6/利润表!E5</f>
        <v/>
      </c>
    </row>
  </sheetData>
  <mergeCells count="2">
    <mergeCell ref="B2:F2"/>
    <mergeCell ref="B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10"/>
  <sheetViews>
    <sheetView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18" customWidth="1" min="3" max="3"/>
    <col width="18" customWidth="1" min="4" max="4"/>
    <col width="18" customWidth="1" min="5" max="5"/>
    <col width="12" customWidth="1" min="6" max="6"/>
  </cols>
  <sheetData>
    <row r="1">
      <c r="B1" s="1" t="inlineStr">
        <is>
          <t>苹果公司 (AAPL) - 平衡校验</t>
        </is>
      </c>
      <c r="C1" s="2" t="n"/>
      <c r="D1" s="2" t="n"/>
      <c r="E1" s="2" t="n"/>
      <c r="F1" s="3" t="n"/>
    </row>
    <row r="2">
      <c r="B2" s="4" t="inlineStr">
        <is>
          <t>所有校验项应为 TRUE（差值为0）</t>
        </is>
      </c>
      <c r="C2" s="2" t="n"/>
      <c r="D2" s="2" t="n"/>
      <c r="E2" s="2" t="n"/>
      <c r="F2" s="3" t="n"/>
    </row>
    <row r="4">
      <c r="B4" s="5" t="inlineStr">
        <is>
          <t>校验项目</t>
        </is>
      </c>
      <c r="C4" s="5" t="inlineStr">
        <is>
          <t>FY2023</t>
        </is>
      </c>
      <c r="D4" s="5" t="inlineStr">
        <is>
          <t>FY2024</t>
        </is>
      </c>
      <c r="E4" s="5" t="inlineStr">
        <is>
          <t>FY2025</t>
        </is>
      </c>
      <c r="F4" s="5" t="inlineStr">
        <is>
          <t>通过?</t>
        </is>
      </c>
    </row>
    <row r="5">
      <c r="B5" s="6" t="inlineStr">
        <is>
          <t>资产 = 负债 + 权益（差值=0）</t>
        </is>
      </c>
      <c r="C5" s="11">
        <f>资产负债表!C5-资产负债表!C9</f>
        <v/>
      </c>
      <c r="D5" s="11">
        <f>资产负债表!D5-资产负债表!D9</f>
        <v/>
      </c>
      <c r="E5" s="11">
        <f>资产负债表!E5-资产负债表!E9</f>
        <v/>
      </c>
      <c r="F5" s="13">
        <f>AND(C5=0,D5=0,E5=0)</f>
        <v/>
      </c>
    </row>
    <row r="6">
      <c r="B6" s="6" t="inlineStr">
        <is>
          <t>毛利润 = 收入 - COGS（差值=0）</t>
        </is>
      </c>
      <c r="C6" s="11">
        <f>利润表!C7-(利润表!C5-利润表!C6)</f>
        <v/>
      </c>
      <c r="D6" s="11">
        <f>利润表!D7-(利润表!D5-利润表!D6)</f>
        <v/>
      </c>
      <c r="E6" s="11">
        <f>利润表!E7-(利润表!E5-利润表!E6)</f>
        <v/>
      </c>
      <c r="F6" s="13">
        <f>AND(C6=0,D6=0,E6=0)</f>
        <v/>
      </c>
    </row>
    <row r="7">
      <c r="B7" s="6" t="inlineStr">
        <is>
          <t>FCF = 经营CF + CapEx（差值=0）</t>
        </is>
      </c>
      <c r="C7" s="11">
        <f>现金流量表!C7-(现金流量表!C5+现金流量表!C6)</f>
        <v/>
      </c>
      <c r="D7" s="11">
        <f>现金流量表!D7-(现金流量表!D5+现金流量表!D6)</f>
        <v/>
      </c>
      <c r="E7" s="11">
        <f>现金流量表!E7-(现金流量表!E5+现金流量表!E6)</f>
        <v/>
      </c>
      <c r="F7" s="13">
        <f>AND(C7=0,D7=0,E7=0)</f>
        <v/>
      </c>
    </row>
    <row r="8">
      <c r="B8" s="6" t="inlineStr">
        <is>
          <t>EPS一致性（计算EPS - 公式EPS，应=0）</t>
        </is>
      </c>
      <c r="C8" s="12">
        <f>利润表!C17-利润表!C13/利润表!C16</f>
        <v/>
      </c>
      <c r="D8" s="12">
        <f>利润表!D17-利润表!D13/利润表!D16</f>
        <v/>
      </c>
      <c r="E8" s="12">
        <f>利润表!E17-利润表!E13/利润表!E16</f>
        <v/>
      </c>
      <c r="F8" s="13">
        <f>AND(ABS(C8)&lt;0.05,ABS(D8)&lt;0.05,ABS(E8)&lt;0.05)</f>
        <v/>
      </c>
    </row>
    <row r="9">
      <c r="B9" s="6" t="inlineStr">
        <is>
          <t>盈利质量：经营CF/净利润 &gt; 80%</t>
        </is>
      </c>
      <c r="C9" s="9">
        <f>现金流量表!C5/利润表!C13</f>
        <v/>
      </c>
      <c r="D9" s="9">
        <f>现金流量表!D5/利润表!D13</f>
        <v/>
      </c>
      <c r="E9" s="9">
        <f>现金流量表!E5/利润表!E13</f>
        <v/>
      </c>
      <c r="F9" s="13">
        <f>AND(C9&gt;0.8,D9&gt;0.8,E9&gt;0.8)</f>
        <v/>
      </c>
    </row>
    <row r="10">
      <c r="B10" s="6" t="inlineStr">
        <is>
          <t>净利润一致性（利润表 = Inputs）</t>
        </is>
      </c>
      <c r="C10" s="11">
        <f>利润表!C13-Inputs!C22</f>
        <v/>
      </c>
      <c r="D10" s="8">
        <f>利润表!D13-Inputs!D22</f>
        <v/>
      </c>
      <c r="E10" s="8">
        <f>利润表!E13-Inputs!E22</f>
        <v/>
      </c>
      <c r="F10" s="13">
        <f>AND(C10=0,D10=0,E10=0)</f>
        <v/>
      </c>
    </row>
  </sheetData>
  <mergeCells count="2">
    <mergeCell ref="B2:F2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2026-05-10T13:39:23Z</dcterms:created>
  <dcterms:modified xmlns:dcterms="http://purl.org/dc/terms/" xmlns:xsi="http://www.w3.org/2001/XMLSchema-instance" xsi:type="dcterms:W3CDTF">2026-05-10T13:39:23Z</dcterms:modified>
</cp:coreProperties>
</file>