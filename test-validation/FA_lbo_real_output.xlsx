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al Assumptions" sheetId="2" state="visible" r:id="rId2"/>
    <sheet xmlns:r="http://schemas.openxmlformats.org/officeDocument/2006/relationships" name="Sources &amp; Uses" sheetId="3" state="visible" r:id="rId3"/>
    <sheet xmlns:r="http://schemas.openxmlformats.org/officeDocument/2006/relationships" name="Operating Model" sheetId="4" state="visible" r:id="rId4"/>
    <sheet xmlns:r="http://schemas.openxmlformats.org/officeDocument/2006/relationships" name="Debt Schedule" sheetId="5" state="visible" r:id="rId5"/>
    <sheet xmlns:r="http://schemas.openxmlformats.org/officeDocument/2006/relationships" name="Returns Analysis" sheetId="6" state="visible" r:id="rId6"/>
    <sheet xmlns:r="http://schemas.openxmlformats.org/officeDocument/2006/relationships" name="Sensitivity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#,##0.0"/>
    <numFmt numFmtId="166" formatCode="0.0%"/>
    <numFmt numFmtId="167" formatCode="0.00&quot;x&quot;"/>
    <numFmt numFmtId="168" formatCode="0.0&quot;x&quot;"/>
  </numFmts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</font>
    <font>
      <color rgb="00000000"/>
    </font>
    <font>
      <color rgb="000000FF"/>
    </font>
    <font>
      <color rgb="00008000"/>
    </font>
    <font>
      <b val="1"/>
      <color rgb="00000000"/>
      <sz val="14"/>
    </font>
    <font>
      <color rgb="00800080"/>
    </font>
    <font>
      <b val="1"/>
      <sz val="12"/>
    </font>
    <font>
      <b val="1"/>
      <color rgb="00008000"/>
      <sz val="1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1" fontId="7" fillId="0" borderId="1" applyAlignment="1" pivotButton="0" quotePrefix="0" xfId="0">
      <alignment horizontal="right"/>
    </xf>
    <xf numFmtId="167" fontId="9" fillId="5" borderId="1" applyAlignment="1" pivotButton="0" quotePrefix="0" xfId="0">
      <alignment horizontal="right"/>
    </xf>
    <xf numFmtId="166" fontId="9" fillId="5" borderId="1" applyAlignment="1" pivotButton="0" quotePrefix="0" xfId="0">
      <alignment horizontal="right"/>
    </xf>
    <xf numFmtId="0" fontId="0" fillId="0" borderId="1" applyAlignment="1" pivotButton="0" quotePrefix="0" xfId="0">
      <alignment vertical="top" wrapText="1"/>
    </xf>
    <xf numFmtId="164" fontId="4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  <xf numFmtId="167" fontId="3" fillId="0" borderId="1" applyAlignment="1" pivotButton="0" quotePrefix="0" xfId="0">
      <alignment horizontal="right"/>
    </xf>
    <xf numFmtId="168" fontId="4" fillId="3" borderId="1" applyAlignment="1" pivotButton="0" quotePrefix="0" xfId="0">
      <alignment horizontal="right"/>
    </xf>
    <xf numFmtId="1" fontId="4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168" fontId="5" fillId="0" borderId="1" applyAlignment="1" pivotButton="0" quotePrefix="0" xfId="0">
      <alignment horizontal="right"/>
    </xf>
    <xf numFmtId="168" fontId="3" fillId="0" borderId="1" applyAlignment="1" pivotButton="0" quotePrefix="0" xfId="0">
      <alignment horizontal="right"/>
    </xf>
    <xf numFmtId="167" fontId="6" fillId="5" borderId="1" applyAlignment="1" pivotButton="0" quotePrefix="0" xfId="0">
      <alignment horizontal="right"/>
    </xf>
    <xf numFmtId="166" fontId="6" fillId="5" borderId="1" applyAlignment="1" pivotButton="0" quotePrefix="0" xfId="0">
      <alignment horizontal="right"/>
    </xf>
    <xf numFmtId="1" fontId="5" fillId="0" borderId="1" applyAlignment="1" pivotButton="0" quotePrefix="0" xfId="0">
      <alignment horizontal="right"/>
    </xf>
    <xf numFmtId="0" fontId="2" fillId="4" borderId="1" pivotButton="0" quotePrefix="0" xfId="0"/>
    <xf numFmtId="166" fontId="0" fillId="0" borderId="1" applyAlignment="1" pivotButton="0" quotePrefix="0" xfId="0">
      <alignment horizontal="center"/>
    </xf>
    <xf numFmtId="166" fontId="8" fillId="5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167" fontId="8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</cols>
  <sheetData>
    <row r="1">
      <c r="A1" s="1" t="inlineStr">
        <is>
          <t>CyberArk (CYBR) LBO Model - Executive Summary</t>
        </is>
      </c>
    </row>
    <row r="3">
      <c r="A3" s="2" t="inlineStr">
        <is>
          <t>Transaction Overview</t>
        </is>
      </c>
    </row>
    <row r="4">
      <c r="A4" s="3" t="inlineStr">
        <is>
          <t>Target Company</t>
        </is>
      </c>
      <c r="B4" s="4" t="inlineStr">
        <is>
          <t>CyberArk Software (CYBR)</t>
        </is>
      </c>
    </row>
    <row r="5">
      <c r="A5" s="3" t="inlineStr">
        <is>
          <t>Sector</t>
        </is>
      </c>
      <c r="B5" s="4" t="inlineStr">
        <is>
          <t>Cybersecurity / Identity Security</t>
        </is>
      </c>
    </row>
    <row r="6">
      <c r="A6" s="3" t="inlineStr">
        <is>
          <t>FY2025 Revenue ($M)</t>
        </is>
      </c>
      <c r="B6" s="5">
        <f>'Deal Assumptions'!B22</f>
        <v/>
      </c>
    </row>
    <row r="7">
      <c r="A7" s="3" t="inlineStr">
        <is>
          <t>FY2025 EBITDA ($M)</t>
        </is>
      </c>
      <c r="B7" s="5">
        <f>'Deal Assumptions'!B23</f>
        <v/>
      </c>
    </row>
    <row r="8">
      <c r="A8" s="3" t="inlineStr">
        <is>
          <t>Revenue Growth (YoY)</t>
        </is>
      </c>
      <c r="B8" s="6" t="n">
        <v>0.36</v>
      </c>
    </row>
    <row r="10">
      <c r="A10" s="2" t="inlineStr">
        <is>
          <t>Deal Parameters</t>
        </is>
      </c>
    </row>
    <row r="11">
      <c r="A11" s="3" t="inlineStr">
        <is>
          <t>Acquisition Premium</t>
        </is>
      </c>
      <c r="B11" s="7">
        <f>'Deal Assumptions'!B13</f>
        <v/>
      </c>
    </row>
    <row r="12">
      <c r="A12" s="3" t="inlineStr">
        <is>
          <t>Entry Enterprise Value ($M)</t>
        </is>
      </c>
      <c r="B12" s="5">
        <f>'Deal Assumptions'!B19</f>
        <v/>
      </c>
    </row>
    <row r="13">
      <c r="A13" s="3" t="inlineStr">
        <is>
          <t>Entry EV/EBITDA</t>
        </is>
      </c>
      <c r="B13" s="8">
        <f>'Deal Assumptions'!B26</f>
        <v/>
      </c>
    </row>
    <row r="14">
      <c r="A14" s="3" t="inlineStr">
        <is>
          <t>Total Leverage</t>
        </is>
      </c>
      <c r="B14" s="8">
        <f>'Deal Assumptions'!B29</f>
        <v/>
      </c>
    </row>
    <row r="15">
      <c r="A15" s="3" t="inlineStr">
        <is>
          <t>Sponsor Equity ($M)</t>
        </is>
      </c>
      <c r="B15" s="5">
        <f>'Deal Assumptions'!B31</f>
        <v/>
      </c>
    </row>
    <row r="17">
      <c r="A17" s="2" t="inlineStr">
        <is>
          <t>Key Return Metrics</t>
        </is>
      </c>
    </row>
    <row r="18">
      <c r="A18" s="3" t="inlineStr">
        <is>
          <t>Hold Period (Years)</t>
        </is>
      </c>
      <c r="B18" s="9">
        <f>'Deal Assumptions'!B49</f>
        <v/>
      </c>
    </row>
    <row r="19">
      <c r="A19" s="3" t="inlineStr">
        <is>
          <t>MOIC</t>
        </is>
      </c>
      <c r="B19" s="10">
        <f>'Returns Analysis'!B15</f>
        <v/>
      </c>
    </row>
    <row r="20">
      <c r="A20" s="3" t="inlineStr">
        <is>
          <t>IRR</t>
        </is>
      </c>
      <c r="B20" s="11">
        <f>'Returns Analysis'!B16</f>
        <v/>
      </c>
    </row>
    <row r="22">
      <c r="A22" s="2" t="inlineStr">
        <is>
          <t>Data Sources</t>
        </is>
      </c>
    </row>
    <row r="23">
      <c r="A23" s="12" t="inlineStr">
        <is>
          <t>Model built on CyberArk (CYBR) public financial data:
- FY2025 Total Revenue ~$1.361B (+36% YoY), from company FY2025 earnings release
- Non-GAAP EBITDA ~$245M (~18% margin), based on company guidance
- Total Debt ~$1.22B, Cash ~$1.54B, Net Cash ~$320M
- Share Price ~$409, Market Cap ~$20.6B, ~50.6M shares outstanding
- ARR ~$1.44B, Subscription Revenue +51% YoY
Note: CyberArk has agreed to be acquired by Palo Alto Networks.
This model is a hypothetical LBO analysis assuming pre-acquisition scenario.</t>
        </is>
      </c>
    </row>
    <row r="24"/>
    <row r="25"/>
    <row r="26"/>
    <row r="27"/>
    <row r="28"/>
    <row r="29"/>
  </sheetData>
  <mergeCells count="2">
    <mergeCell ref="A23:B2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CyberArk (CYBR) LBO - Deal Assumptions</t>
        </is>
      </c>
    </row>
    <row r="3">
      <c r="A3" s="2" t="inlineStr">
        <is>
          <t>Company Name</t>
        </is>
      </c>
    </row>
    <row r="4">
      <c r="A4" s="3" t="inlineStr">
        <is>
          <t>Company</t>
        </is>
      </c>
      <c r="B4" s="4" t="inlineStr">
        <is>
          <t>CyberArk Software Ltd.</t>
        </is>
      </c>
    </row>
    <row r="5">
      <c r="A5" s="3" t="inlineStr">
        <is>
          <t>Ticker</t>
        </is>
      </c>
      <c r="B5" s="4" t="inlineStr">
        <is>
          <t>CYBR (NASDAQ)</t>
        </is>
      </c>
    </row>
    <row r="6">
      <c r="A6" s="3" t="inlineStr">
        <is>
          <t>Current Share Price ($)</t>
        </is>
      </c>
      <c r="B6" s="13" t="n">
        <v>409</v>
      </c>
    </row>
    <row r="7">
      <c r="A7" s="3" t="inlineStr">
        <is>
          <t>Shares Outstanding (M)</t>
        </is>
      </c>
      <c r="B7" s="14" t="n">
        <v>50.6</v>
      </c>
    </row>
    <row r="8">
      <c r="A8" s="3" t="inlineStr">
        <is>
          <t>Market Cap ($M)</t>
        </is>
      </c>
      <c r="B8" s="15">
        <f>B6*B7</f>
        <v/>
      </c>
    </row>
    <row r="9">
      <c r="A9" s="3" t="inlineStr">
        <is>
          <t>Existing Net Debt ($M)</t>
        </is>
      </c>
      <c r="B9" s="13" t="n">
        <v>-320</v>
      </c>
    </row>
    <row r="10">
      <c r="A10" s="3" t="inlineStr">
        <is>
          <t>Enterprise Value ($M)</t>
        </is>
      </c>
      <c r="B10" s="15">
        <f>B8+B9</f>
        <v/>
      </c>
    </row>
    <row r="12">
      <c r="A12" s="2" t="inlineStr">
        <is>
          <t>Acquisition Premium &amp; Valuation</t>
        </is>
      </c>
    </row>
    <row r="13">
      <c r="A13" s="3" t="inlineStr">
        <is>
          <t>Acquisition Premium (%)</t>
        </is>
      </c>
      <c r="B13" s="6" t="n">
        <v>0.3</v>
      </c>
    </row>
    <row r="14">
      <c r="A14" s="3" t="inlineStr">
        <is>
          <t>Acquisition Price/Share ($)</t>
        </is>
      </c>
      <c r="B14" s="15">
        <f>B6*(1+B13)</f>
        <v/>
      </c>
    </row>
    <row r="15">
      <c r="A15" s="3" t="inlineStr">
        <is>
          <t>Equity Purchase Price ($M)</t>
        </is>
      </c>
      <c r="B15" s="15">
        <f>B14*B7</f>
        <v/>
      </c>
    </row>
    <row r="16">
      <c r="A16" s="3" t="inlineStr">
        <is>
          <t>Transaction Fees ($M)</t>
        </is>
      </c>
      <c r="B16" s="13" t="n">
        <v>200</v>
      </c>
    </row>
    <row r="17">
      <c r="A17" s="3" t="inlineStr">
        <is>
          <t>Financing Fees ($M)</t>
        </is>
      </c>
      <c r="B17" s="13" t="n">
        <v>300</v>
      </c>
    </row>
    <row r="18">
      <c r="A18" s="3" t="inlineStr">
        <is>
          <t>Total Equity Required ($M)</t>
        </is>
      </c>
      <c r="B18" s="15">
        <f>B15+B16+B17</f>
        <v/>
      </c>
    </row>
    <row r="19">
      <c r="A19" s="3" t="inlineStr">
        <is>
          <t>Entry Enterprise Value ($M)</t>
        </is>
      </c>
      <c r="B19" s="15">
        <f>B18-B9</f>
        <v/>
      </c>
    </row>
    <row r="21">
      <c r="A21" s="2" t="inlineStr">
        <is>
          <t>Base Year Financials (FY2025)</t>
        </is>
      </c>
    </row>
    <row r="22">
      <c r="A22" s="3" t="inlineStr">
        <is>
          <t>Total Revenue ($M)</t>
        </is>
      </c>
      <c r="B22" s="13" t="n">
        <v>1361</v>
      </c>
    </row>
    <row r="23">
      <c r="A23" s="3" t="inlineStr">
        <is>
          <t>Non-GAAP EBITDA ($M)</t>
        </is>
      </c>
      <c r="B23" s="13" t="n">
        <v>245</v>
      </c>
    </row>
    <row r="24">
      <c r="A24" s="3" t="inlineStr">
        <is>
          <t>EBITDA Margin (%)</t>
        </is>
      </c>
      <c r="B24" s="16">
        <f>B23/B22</f>
        <v/>
      </c>
    </row>
    <row r="25">
      <c r="A25" s="3" t="inlineStr">
        <is>
          <t>Free Cash Flow ($M)</t>
        </is>
      </c>
      <c r="B25" s="13" t="n">
        <v>350</v>
      </c>
    </row>
    <row r="26">
      <c r="A26" s="3" t="inlineStr">
        <is>
          <t>Entry EV/EBITDA (x)</t>
        </is>
      </c>
      <c r="B26" s="17">
        <f>B19/B23</f>
        <v/>
      </c>
    </row>
    <row r="28">
      <c r="A28" s="2" t="inlineStr">
        <is>
          <t>Financing Structure</t>
        </is>
      </c>
    </row>
    <row r="29">
      <c r="A29" s="3" t="inlineStr">
        <is>
          <t>Total Leverage (x EBITDA)</t>
        </is>
      </c>
      <c r="B29" s="18" t="n">
        <v>5</v>
      </c>
    </row>
    <row r="30">
      <c r="A30" s="3" t="inlineStr">
        <is>
          <t>Total Debt ($M)</t>
        </is>
      </c>
      <c r="B30" s="15">
        <f>B29*B23</f>
        <v/>
      </c>
    </row>
    <row r="31">
      <c r="A31" s="3" t="inlineStr">
        <is>
          <t>Equity Contribution ($M)</t>
        </is>
      </c>
      <c r="B31" s="15">
        <f>B18-B30</f>
        <v/>
      </c>
    </row>
    <row r="32">
      <c r="A32" s="3" t="inlineStr">
        <is>
          <t>Equity Check (%)</t>
        </is>
      </c>
      <c r="B32" s="16">
        <f>B31/B18</f>
        <v/>
      </c>
    </row>
    <row r="34">
      <c r="A34" s="2" t="inlineStr">
        <is>
          <t>Debt Tranches</t>
        </is>
      </c>
    </row>
    <row r="35">
      <c r="A35" s="3" t="inlineStr">
        <is>
          <t>Senior Secured (%)</t>
        </is>
      </c>
      <c r="B35" s="6" t="n">
        <v>0.6</v>
      </c>
    </row>
    <row r="36">
      <c r="A36" s="3" t="inlineStr">
        <is>
          <t>Senior Secured Amount ($M)</t>
        </is>
      </c>
      <c r="B36" s="15">
        <f>B35*B30</f>
        <v/>
      </c>
    </row>
    <row r="37">
      <c r="A37" s="3" t="inlineStr">
        <is>
          <t>Senior Secured Rate (%)</t>
        </is>
      </c>
      <c r="B37" s="6" t="n">
        <v>0.065</v>
      </c>
    </row>
    <row r="38">
      <c r="A38" s="3" t="inlineStr">
        <is>
          <t>Subordinated Notes (%)</t>
        </is>
      </c>
      <c r="B38" s="6" t="n">
        <v>0.4</v>
      </c>
    </row>
    <row r="39">
      <c r="A39" s="3" t="inlineStr">
        <is>
          <t>Subordinated Amount ($M)</t>
        </is>
      </c>
      <c r="B39" s="15">
        <f>B38*B30</f>
        <v/>
      </c>
    </row>
    <row r="40">
      <c r="A40" s="3" t="inlineStr">
        <is>
          <t>Subordinated Rate (%)</t>
        </is>
      </c>
      <c r="B40" s="6" t="n">
        <v>0.08500000000000001</v>
      </c>
    </row>
    <row r="41">
      <c r="A41" s="3" t="inlineStr">
        <is>
          <t>Blended Rate (%)</t>
        </is>
      </c>
      <c r="B41" s="16">
        <f>B35*B37+B38*B40</f>
        <v/>
      </c>
    </row>
    <row r="43">
      <c r="A43" s="2" t="inlineStr">
        <is>
          <t>Amortization Assumptions</t>
        </is>
      </c>
    </row>
    <row r="44">
      <c r="A44" s="3" t="inlineStr">
        <is>
          <t>Senior Mandatory Amort (%)</t>
        </is>
      </c>
      <c r="B44" s="6" t="n">
        <v>0.05</v>
      </c>
    </row>
    <row r="45">
      <c r="A45" s="3" t="inlineStr">
        <is>
          <t>Cash Sweep (%)</t>
        </is>
      </c>
      <c r="B45" s="6" t="n">
        <v>0.5</v>
      </c>
    </row>
    <row r="46">
      <c r="A46" s="3" t="inlineStr">
        <is>
          <t>Subordinated Amort</t>
        </is>
      </c>
      <c r="B46" s="6" t="n">
        <v>0</v>
      </c>
    </row>
    <row r="48">
      <c r="A48" s="2" t="inlineStr">
        <is>
          <t>Exit Assumptions</t>
        </is>
      </c>
    </row>
    <row r="49">
      <c r="A49" s="3" t="inlineStr">
        <is>
          <t>Hold Period (Years)</t>
        </is>
      </c>
      <c r="B49" s="19" t="n">
        <v>5</v>
      </c>
    </row>
    <row r="50">
      <c r="A50" s="3" t="inlineStr">
        <is>
          <t>Exit EV/EBITDA (x)</t>
        </is>
      </c>
      <c r="B50" s="18" t="n">
        <v>22</v>
      </c>
    </row>
    <row r="52">
      <c r="A52" s="2" t="inlineStr">
        <is>
          <t>Operating Assumptions</t>
        </is>
      </c>
    </row>
    <row r="53">
      <c r="A53" s="3" t="inlineStr">
        <is>
          <t>Rev Growth Y1-Y2 (%)</t>
        </is>
      </c>
      <c r="B53" s="6" t="n">
        <v>0.28</v>
      </c>
    </row>
    <row r="54">
      <c r="A54" s="3" t="inlineStr">
        <is>
          <t>Rev Growth Y3-Y5 (%)</t>
        </is>
      </c>
      <c r="B54" s="6" t="n">
        <v>0.22</v>
      </c>
    </row>
    <row r="55">
      <c r="A55" s="3" t="inlineStr">
        <is>
          <t>EBITDA Margin Y1-Y2 (%)</t>
        </is>
      </c>
      <c r="B55" s="6" t="n">
        <v>0.2</v>
      </c>
    </row>
    <row r="56">
      <c r="A56" s="3" t="inlineStr">
        <is>
          <t>EBITDA Margin Y3-Y5 (%)</t>
        </is>
      </c>
      <c r="B56" s="6" t="n">
        <v>0.23</v>
      </c>
    </row>
    <row r="57">
      <c r="A57" s="3" t="inlineStr">
        <is>
          <t>CapEx % Revenue (%)</t>
        </is>
      </c>
      <c r="B57" s="6" t="n">
        <v>0.06</v>
      </c>
    </row>
    <row r="58">
      <c r="A58" s="3" t="inlineStr">
        <is>
          <t>Tax Rate (%)</t>
        </is>
      </c>
      <c r="B58" s="6" t="n">
        <v>0.21</v>
      </c>
    </row>
    <row r="59">
      <c r="A59" s="3" t="inlineStr">
        <is>
          <t>D&amp;A % Revenue (%)</t>
        </is>
      </c>
      <c r="B59" s="6" t="n">
        <v>0.08</v>
      </c>
    </row>
    <row r="60">
      <c r="A60" s="3" t="inlineStr">
        <is>
          <t>NWC Change % Rev Incr (%)</t>
        </is>
      </c>
      <c r="B60" s="6" t="n">
        <v>0.02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1" t="inlineStr">
        <is>
          <t>Sources &amp; Uses</t>
        </is>
      </c>
    </row>
    <row r="3">
      <c r="A3" s="2" t="inlineStr">
        <is>
          <t>Sources</t>
        </is>
      </c>
      <c r="B3" s="20" t="inlineStr">
        <is>
          <t>Amount ($M)</t>
        </is>
      </c>
    </row>
    <row r="4">
      <c r="A4" s="3" t="inlineStr">
        <is>
          <t>Senior Secured Debt</t>
        </is>
      </c>
      <c r="B4" s="21">
        <f>'Deal Assumptions'!B36</f>
        <v/>
      </c>
    </row>
    <row r="5">
      <c r="A5" s="3" t="inlineStr">
        <is>
          <t>Subordinated Notes</t>
        </is>
      </c>
      <c r="B5" s="21">
        <f>'Deal Assumptions'!B39</f>
        <v/>
      </c>
    </row>
    <row r="6">
      <c r="A6" s="3" t="inlineStr">
        <is>
          <t>Sponsor Equity</t>
        </is>
      </c>
      <c r="B6" s="21">
        <f>'Deal Assumptions'!B31</f>
        <v/>
      </c>
    </row>
    <row r="7">
      <c r="A7" s="3" t="inlineStr">
        <is>
          <t>Total Sources</t>
        </is>
      </c>
      <c r="B7" s="22">
        <f>B4+B5+B6</f>
        <v/>
      </c>
    </row>
    <row r="9">
      <c r="A9" s="2" t="inlineStr">
        <is>
          <t>Uses</t>
        </is>
      </c>
      <c r="B9" s="20" t="inlineStr">
        <is>
          <t>Amount ($M)</t>
        </is>
      </c>
    </row>
    <row r="10">
      <c r="A10" s="3" t="inlineStr">
        <is>
          <t>Equity Purchase Price</t>
        </is>
      </c>
      <c r="B10" s="21">
        <f>'Deal Assumptions'!B15</f>
        <v/>
      </c>
    </row>
    <row r="11">
      <c r="A11" s="3" t="inlineStr">
        <is>
          <t>Transaction Fees</t>
        </is>
      </c>
      <c r="B11" s="21">
        <f>'Deal Assumptions'!B16</f>
        <v/>
      </c>
    </row>
    <row r="12">
      <c r="A12" s="3" t="inlineStr">
        <is>
          <t>Financing Fees</t>
        </is>
      </c>
      <c r="B12" s="21">
        <f>'Deal Assumptions'!B17</f>
        <v/>
      </c>
    </row>
    <row r="13">
      <c r="A13" s="3" t="inlineStr">
        <is>
          <t>Repay Existing Net Debt</t>
        </is>
      </c>
      <c r="B13" s="21">
        <f>-'Deal Assumptions'!B9</f>
        <v/>
      </c>
    </row>
    <row r="14">
      <c r="A14" s="3" t="inlineStr">
        <is>
          <t>Total Uses</t>
        </is>
      </c>
      <c r="B14" s="22">
        <f>B10+B11+B12+B13</f>
        <v/>
      </c>
    </row>
    <row r="16">
      <c r="A16" s="3" t="inlineStr">
        <is>
          <t>Balance Check (should = 0)</t>
        </is>
      </c>
      <c r="B16" s="23">
        <f>B7-B14</f>
        <v/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6" customWidth="1" min="8" max="8"/>
  </cols>
  <sheetData>
    <row r="1">
      <c r="A1" s="1" t="inlineStr">
        <is>
          <t>Operating Model - 5-Year Projections</t>
        </is>
      </c>
    </row>
    <row r="2">
      <c r="A2" s="24" t="inlineStr">
        <is>
          <t>Metric</t>
        </is>
      </c>
      <c r="B2" s="24" t="inlineStr">
        <is>
          <t>Base (FY2025)</t>
        </is>
      </c>
      <c r="C2" s="24" t="inlineStr">
        <is>
          <t>Year 1</t>
        </is>
      </c>
      <c r="D2" s="24" t="inlineStr">
        <is>
          <t>Year 2</t>
        </is>
      </c>
      <c r="E2" s="24" t="inlineStr">
        <is>
          <t>Year 3</t>
        </is>
      </c>
      <c r="F2" s="24" t="inlineStr">
        <is>
          <t>Year 4</t>
        </is>
      </c>
      <c r="G2" s="24" t="inlineStr">
        <is>
          <t>Year 5</t>
        </is>
      </c>
      <c r="H2" s="24" t="inlineStr">
        <is>
          <t>CAGR</t>
        </is>
      </c>
    </row>
    <row r="4">
      <c r="A4" s="2" t="inlineStr">
        <is>
          <t>Total Revenue ($M)</t>
        </is>
      </c>
      <c r="B4" s="21">
        <f>'Deal Assumptions'!B22</f>
        <v/>
      </c>
      <c r="C4" s="15">
        <f>B4*(1+'Deal Assumptions'!B53)</f>
        <v/>
      </c>
      <c r="D4" s="15">
        <f>C4*(1+'Deal Assumptions'!B53)</f>
        <v/>
      </c>
      <c r="E4" s="15">
        <f>D4*(1+'Deal Assumptions'!B54)</f>
        <v/>
      </c>
      <c r="F4" s="15">
        <f>E4*(1+'Deal Assumptions'!B54)</f>
        <v/>
      </c>
      <c r="G4" s="15">
        <f>F4*(1+'Deal Assumptions'!B54)</f>
        <v/>
      </c>
      <c r="H4" s="16">
        <f>(G4/B4)^(1/5)-1</f>
        <v/>
      </c>
    </row>
    <row r="5">
      <c r="A5" s="3" t="inlineStr">
        <is>
          <t>Revenue Growth (%)</t>
        </is>
      </c>
      <c r="B5" s="25" t="inlineStr">
        <is>
          <t>N/A</t>
        </is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  <c r="G5" s="16">
        <f>G4/F4-1</f>
        <v/>
      </c>
      <c r="H5" s="7">
        <f>H4</f>
        <v/>
      </c>
    </row>
    <row r="7">
      <c r="A7" s="2" t="inlineStr">
        <is>
          <t>EBITDA ($M)</t>
        </is>
      </c>
      <c r="B7" s="21">
        <f>'Deal Assumptions'!B23</f>
        <v/>
      </c>
      <c r="C7" s="15">
        <f>C4*'Deal Assumptions'!B55</f>
        <v/>
      </c>
      <c r="D7" s="15">
        <f>D4*'Deal Assumptions'!B55</f>
        <v/>
      </c>
      <c r="E7" s="15">
        <f>E4*'Deal Assumptions'!B56</f>
        <v/>
      </c>
      <c r="F7" s="15">
        <f>F4*'Deal Assumptions'!B56</f>
        <v/>
      </c>
      <c r="G7" s="15">
        <f>G4*'Deal Assumptions'!B56</f>
        <v/>
      </c>
    </row>
    <row r="8">
      <c r="A8" s="3" t="inlineStr">
        <is>
          <t>EBITDA Margin (%)</t>
        </is>
      </c>
      <c r="B8" s="16">
        <f>B7/B4</f>
        <v/>
      </c>
      <c r="C8" s="16">
        <f>C7/C4</f>
        <v/>
      </c>
      <c r="D8" s="16">
        <f>D7/D4</f>
        <v/>
      </c>
      <c r="E8" s="16">
        <f>E7/E4</f>
        <v/>
      </c>
      <c r="F8" s="16">
        <f>F7/F4</f>
        <v/>
      </c>
      <c r="G8" s="16">
        <f>G7/G4</f>
        <v/>
      </c>
    </row>
    <row r="10">
      <c r="A10" s="3" t="inlineStr">
        <is>
          <t>Depreciation &amp; Amortization ($M)</t>
        </is>
      </c>
      <c r="B10" s="15">
        <f>B4*'Deal Assumptions'!B59</f>
        <v/>
      </c>
      <c r="C10" s="15">
        <f>C4*'Deal Assumptions'!B59</f>
        <v/>
      </c>
      <c r="D10" s="15">
        <f>D4*'Deal Assumptions'!B59</f>
        <v/>
      </c>
      <c r="E10" s="15">
        <f>E4*'Deal Assumptions'!B59</f>
        <v/>
      </c>
      <c r="F10" s="15">
        <f>F4*'Deal Assumptions'!B59</f>
        <v/>
      </c>
      <c r="G10" s="15">
        <f>G4*'Deal Assumptions'!B59</f>
        <v/>
      </c>
    </row>
    <row r="11">
      <c r="A11" s="2" t="inlineStr">
        <is>
          <t>EBIT ($M)</t>
        </is>
      </c>
      <c r="B11" s="15">
        <f>B7-B10</f>
        <v/>
      </c>
      <c r="C11" s="15">
        <f>C7-C10</f>
        <v/>
      </c>
      <c r="D11" s="15">
        <f>D7-D10</f>
        <v/>
      </c>
      <c r="E11" s="15">
        <f>E7-E10</f>
        <v/>
      </c>
      <c r="F11" s="15">
        <f>F7-F10</f>
        <v/>
      </c>
      <c r="G11" s="15">
        <f>G7-G10</f>
        <v/>
      </c>
    </row>
    <row r="12">
      <c r="A12" s="3" t="inlineStr">
        <is>
          <t>Taxes ($M)</t>
        </is>
      </c>
      <c r="B12" s="15">
        <f>MAX(0,B11*'Deal Assumptions'!B58)</f>
        <v/>
      </c>
      <c r="C12" s="15">
        <f>MAX(0,C11*'Deal Assumptions'!B58)</f>
        <v/>
      </c>
      <c r="D12" s="15">
        <f>MAX(0,D11*'Deal Assumptions'!B58)</f>
        <v/>
      </c>
      <c r="E12" s="15">
        <f>MAX(0,E11*'Deal Assumptions'!B58)</f>
        <v/>
      </c>
      <c r="F12" s="15">
        <f>MAX(0,F11*'Deal Assumptions'!B58)</f>
        <v/>
      </c>
      <c r="G12" s="15">
        <f>MAX(0,G11*'Deal Assumptions'!B58)</f>
        <v/>
      </c>
    </row>
    <row r="13">
      <c r="A13" s="2" t="inlineStr">
        <is>
          <t>NOPAT ($M)</t>
        </is>
      </c>
      <c r="B13" s="15">
        <f>B11-B12</f>
        <v/>
      </c>
      <c r="C13" s="15">
        <f>C11-C12</f>
        <v/>
      </c>
      <c r="D13" s="15">
        <f>D11-D12</f>
        <v/>
      </c>
      <c r="E13" s="15">
        <f>E11-E12</f>
        <v/>
      </c>
      <c r="F13" s="15">
        <f>F11-F12</f>
        <v/>
      </c>
      <c r="G13" s="15">
        <f>G11-G12</f>
        <v/>
      </c>
    </row>
    <row r="15">
      <c r="A15" s="3" t="inlineStr">
        <is>
          <t>Capital Expenditure ($M)</t>
        </is>
      </c>
      <c r="B15" s="15">
        <f>B4*'Deal Assumptions'!B57</f>
        <v/>
      </c>
      <c r="C15" s="15">
        <f>C4*'Deal Assumptions'!B57</f>
        <v/>
      </c>
      <c r="D15" s="15">
        <f>D4*'Deal Assumptions'!B57</f>
        <v/>
      </c>
      <c r="E15" s="15">
        <f>E4*'Deal Assumptions'!B57</f>
        <v/>
      </c>
      <c r="F15" s="15">
        <f>F4*'Deal Assumptions'!B57</f>
        <v/>
      </c>
      <c r="G15" s="15">
        <f>G4*'Deal Assumptions'!B57</f>
        <v/>
      </c>
    </row>
    <row r="16">
      <c r="A16" s="3" t="inlineStr">
        <is>
          <t>Change in NWC ($M)</t>
        </is>
      </c>
      <c r="B16" s="13" t="n">
        <v>0</v>
      </c>
      <c r="C16" s="15">
        <f>(C4-B4)*'Deal Assumptions'!B60</f>
        <v/>
      </c>
      <c r="D16" s="15">
        <f>(D4-C4)*'Deal Assumptions'!B60</f>
        <v/>
      </c>
      <c r="E16" s="15">
        <f>(E4-D4)*'Deal Assumptions'!B60</f>
        <v/>
      </c>
      <c r="F16" s="15">
        <f>(F4-E4)*'Deal Assumptions'!B60</f>
        <v/>
      </c>
      <c r="G16" s="15">
        <f>(G4-F4)*'Deal Assumptions'!B60</f>
        <v/>
      </c>
    </row>
    <row r="18">
      <c r="A18" s="2" t="inlineStr">
        <is>
          <t>Unlevered FCF ($M)</t>
        </is>
      </c>
      <c r="B18" s="15">
        <f>B13+B10-B15-B16</f>
        <v/>
      </c>
      <c r="C18" s="15">
        <f>C13+C10-C15-C16</f>
        <v/>
      </c>
      <c r="D18" s="15">
        <f>D13+D10-D15-D16</f>
        <v/>
      </c>
      <c r="E18" s="15">
        <f>E13+E10-E15-E16</f>
        <v/>
      </c>
      <c r="F18" s="15">
        <f>F13+F10-F15-F16</f>
        <v/>
      </c>
      <c r="G18" s="15">
        <f>G13+G10-G15-G16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Debt Schedule</t>
        </is>
      </c>
    </row>
    <row r="2">
      <c r="A2" s="24" t="inlineStr">
        <is>
          <t>Metric</t>
        </is>
      </c>
      <c r="B2" s="24" t="inlineStr">
        <is>
          <t>Closing</t>
        </is>
      </c>
      <c r="C2" s="24" t="inlineStr">
        <is>
          <t>Year 1</t>
        </is>
      </c>
      <c r="D2" s="24" t="inlineStr">
        <is>
          <t>Year 2</t>
        </is>
      </c>
      <c r="E2" s="24" t="inlineStr">
        <is>
          <t>Year 3</t>
        </is>
      </c>
      <c r="F2" s="24" t="inlineStr">
        <is>
          <t>Year 4</t>
        </is>
      </c>
      <c r="G2" s="24" t="inlineStr">
        <is>
          <t>Year 5</t>
        </is>
      </c>
    </row>
    <row r="4">
      <c r="A4" s="2" t="inlineStr">
        <is>
          <t>Senior Secured Debt</t>
        </is>
      </c>
    </row>
    <row r="5">
      <c r="A5" s="3" t="inlineStr">
        <is>
          <t>Beginning Balance ($M)</t>
        </is>
      </c>
      <c r="B5" s="21">
        <f>'Deal Assumptions'!B36</f>
        <v/>
      </c>
      <c r="C5" s="5">
        <f>B8</f>
        <v/>
      </c>
      <c r="D5" s="5">
        <f>C8</f>
        <v/>
      </c>
      <c r="E5" s="5">
        <f>D8</f>
        <v/>
      </c>
      <c r="F5" s="5">
        <f>E8</f>
        <v/>
      </c>
      <c r="G5" s="5">
        <f>F8</f>
        <v/>
      </c>
    </row>
    <row r="6">
      <c r="A6" s="3" t="inlineStr">
        <is>
          <t>Mandatory Amortization ($M)</t>
        </is>
      </c>
      <c r="B6" s="15" t="n">
        <v>0</v>
      </c>
      <c r="C6" s="15">
        <f>'Deal Assumptions'!B36*'Deal Assumptions'!B44</f>
        <v/>
      </c>
      <c r="D6" s="15">
        <f>'Deal Assumptions'!B36*'Deal Assumptions'!B44</f>
        <v/>
      </c>
      <c r="E6" s="15">
        <f>'Deal Assumptions'!B36*'Deal Assumptions'!B44</f>
        <v/>
      </c>
      <c r="F6" s="15">
        <f>'Deal Assumptions'!B36*'Deal Assumptions'!B44</f>
        <v/>
      </c>
      <c r="G6" s="15">
        <f>'Deal Assumptions'!B36*'Deal Assumptions'!B44</f>
        <v/>
      </c>
    </row>
    <row r="7">
      <c r="A7" s="3" t="inlineStr">
        <is>
          <t>Cash Sweep ($M)</t>
        </is>
      </c>
      <c r="B7" s="15" t="n">
        <v>0</v>
      </c>
      <c r="C7" s="15">
        <f>MAX(0,('Operating Model'!C18-C9-C6)*'Deal Assumptions'!B45)</f>
        <v/>
      </c>
      <c r="D7" s="15">
        <f>MAX(0,('Operating Model'!D18-D9-D6)*'Deal Assumptions'!B45)</f>
        <v/>
      </c>
      <c r="E7" s="15">
        <f>MAX(0,('Operating Model'!E18-E9-E6)*'Deal Assumptions'!B45)</f>
        <v/>
      </c>
      <c r="F7" s="15">
        <f>MAX(0,('Operating Model'!F18-F9-F6)*'Deal Assumptions'!B45)</f>
        <v/>
      </c>
      <c r="G7" s="15">
        <f>MAX(0,('Operating Model'!G18-G9-G6)*'Deal Assumptions'!B45)</f>
        <v/>
      </c>
    </row>
    <row r="8">
      <c r="A8" s="3" t="inlineStr">
        <is>
          <t>Ending Balance ($M)</t>
        </is>
      </c>
      <c r="B8" s="15">
        <f>B5-B6-B7</f>
        <v/>
      </c>
      <c r="C8" s="15">
        <f>MAX(0,C5-C6-C7)</f>
        <v/>
      </c>
      <c r="D8" s="15">
        <f>MAX(0,D5-D6-D7)</f>
        <v/>
      </c>
      <c r="E8" s="15">
        <f>MAX(0,E5-E6-E7)</f>
        <v/>
      </c>
      <c r="F8" s="15">
        <f>MAX(0,F5-F6-F7)</f>
        <v/>
      </c>
      <c r="G8" s="15">
        <f>MAX(0,G5-G6-G7)</f>
        <v/>
      </c>
    </row>
    <row r="9">
      <c r="A9" s="3" t="inlineStr">
        <is>
          <t>Interest Expense ($M)</t>
        </is>
      </c>
      <c r="B9" s="15" t="n">
        <v>0</v>
      </c>
      <c r="C9" s="15">
        <f>C5*'Deal Assumptions'!B37</f>
        <v/>
      </c>
      <c r="D9" s="15">
        <f>D5*'Deal Assumptions'!B37</f>
        <v/>
      </c>
      <c r="E9" s="15">
        <f>E5*'Deal Assumptions'!B37</f>
        <v/>
      </c>
      <c r="F9" s="15">
        <f>F5*'Deal Assumptions'!B37</f>
        <v/>
      </c>
      <c r="G9" s="15">
        <f>G5*'Deal Assumptions'!B37</f>
        <v/>
      </c>
    </row>
    <row r="11">
      <c r="A11" s="2" t="inlineStr">
        <is>
          <t>Subordinated Notes</t>
        </is>
      </c>
    </row>
    <row r="12">
      <c r="A12" s="3" t="inlineStr">
        <is>
          <t>Beginning Balance ($M)</t>
        </is>
      </c>
      <c r="B12" s="21">
        <f>'Deal Assumptions'!B39</f>
        <v/>
      </c>
      <c r="C12" s="5">
        <f>B15</f>
        <v/>
      </c>
      <c r="D12" s="5">
        <f>C15</f>
        <v/>
      </c>
      <c r="E12" s="5">
        <f>D15</f>
        <v/>
      </c>
      <c r="F12" s="5">
        <f>E15</f>
        <v/>
      </c>
      <c r="G12" s="5">
        <f>F15</f>
        <v/>
      </c>
    </row>
    <row r="13">
      <c r="A13" s="3" t="inlineStr">
        <is>
          <t>Mandatory Amortization ($M)</t>
        </is>
      </c>
      <c r="B13" s="13" t="n">
        <v>0</v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0</v>
      </c>
    </row>
    <row r="14">
      <c r="A14" s="3" t="inlineStr">
        <is>
          <t>Cash Sweep ($M)</t>
        </is>
      </c>
      <c r="B14" s="13" t="n">
        <v>0</v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0</v>
      </c>
    </row>
    <row r="15">
      <c r="A15" s="3" t="inlineStr">
        <is>
          <t>Ending Balance ($M)</t>
        </is>
      </c>
      <c r="B15" s="15">
        <f>B12</f>
        <v/>
      </c>
      <c r="C15" s="15">
        <f>C12-C13-C14</f>
        <v/>
      </c>
      <c r="D15" s="15">
        <f>D12-D13-D14</f>
        <v/>
      </c>
      <c r="E15" s="15">
        <f>E12-E13-E14</f>
        <v/>
      </c>
      <c r="F15" s="15">
        <f>F12-F13-F14</f>
        <v/>
      </c>
      <c r="G15" s="15">
        <f>G12-G13-G14</f>
        <v/>
      </c>
    </row>
    <row r="16">
      <c r="A16" s="3" t="inlineStr">
        <is>
          <t>Interest Expense ($M)</t>
        </is>
      </c>
      <c r="B16" s="15" t="n">
        <v>0</v>
      </c>
      <c r="C16" s="15">
        <f>C12*'Deal Assumptions'!B40</f>
        <v/>
      </c>
      <c r="D16" s="15">
        <f>D12*'Deal Assumptions'!B40</f>
        <v/>
      </c>
      <c r="E16" s="15">
        <f>E12*'Deal Assumptions'!B40</f>
        <v/>
      </c>
      <c r="F16" s="15">
        <f>F12*'Deal Assumptions'!B40</f>
        <v/>
      </c>
      <c r="G16" s="15">
        <f>G12*'Deal Assumptions'!B40</f>
        <v/>
      </c>
    </row>
    <row r="18">
      <c r="A18" s="2" t="inlineStr">
        <is>
          <t>Total Debt Summary</t>
        </is>
      </c>
    </row>
    <row r="19">
      <c r="A19" s="3" t="inlineStr">
        <is>
          <t>Total Beginning Debt ($M)</t>
        </is>
      </c>
      <c r="B19" s="15">
        <f>B5+B12</f>
        <v/>
      </c>
      <c r="C19" s="15">
        <f>C5+C12</f>
        <v/>
      </c>
      <c r="D19" s="15">
        <f>D5+D12</f>
        <v/>
      </c>
      <c r="E19" s="15">
        <f>E5+E12</f>
        <v/>
      </c>
      <c r="F19" s="15">
        <f>F5+F12</f>
        <v/>
      </c>
      <c r="G19" s="15">
        <f>G5+G12</f>
        <v/>
      </c>
    </row>
    <row r="20">
      <c r="A20" s="3" t="inlineStr">
        <is>
          <t>Total Ending Debt ($M)</t>
        </is>
      </c>
      <c r="B20" s="15">
        <f>B8+B15</f>
        <v/>
      </c>
      <c r="C20" s="15">
        <f>C8+C15</f>
        <v/>
      </c>
      <c r="D20" s="15">
        <f>D8+D15</f>
        <v/>
      </c>
      <c r="E20" s="15">
        <f>E8+E15</f>
        <v/>
      </c>
      <c r="F20" s="15">
        <f>F8+F15</f>
        <v/>
      </c>
      <c r="G20" s="15">
        <f>G8+G15</f>
        <v/>
      </c>
    </row>
    <row r="21">
      <c r="A21" s="3" t="inlineStr">
        <is>
          <t>Total Interest Expense ($M)</t>
        </is>
      </c>
      <c r="B21" s="15">
        <f>B9+B16</f>
        <v/>
      </c>
      <c r="C21" s="15">
        <f>C9+C16</f>
        <v/>
      </c>
      <c r="D21" s="15">
        <f>D9+D16</f>
        <v/>
      </c>
      <c r="E21" s="15">
        <f>E9+E16</f>
        <v/>
      </c>
      <c r="F21" s="15">
        <f>F9+F16</f>
        <v/>
      </c>
      <c r="G21" s="15">
        <f>G9+G16</f>
        <v/>
      </c>
    </row>
    <row r="22">
      <c r="A22" s="3" t="inlineStr">
        <is>
          <t>Leverage Ratio (x EBITDA)</t>
        </is>
      </c>
      <c r="B22" s="26">
        <f>'Deal Assumptions'!B29</f>
        <v/>
      </c>
      <c r="C22" s="27">
        <f>IF('Operating Model'!C7&gt;0,C19/'Operating Model'!C7,0)</f>
        <v/>
      </c>
      <c r="D22" s="27">
        <f>IF('Operating Model'!D7&gt;0,D19/'Operating Model'!D7,0)</f>
        <v/>
      </c>
      <c r="E22" s="27">
        <f>IF('Operating Model'!E7&gt;0,E19/'Operating Model'!E7,0)</f>
        <v/>
      </c>
      <c r="F22" s="27">
        <f>IF('Operating Model'!F7&gt;0,F19/'Operating Model'!F7,0)</f>
        <v/>
      </c>
      <c r="G22" s="27">
        <f>IF('Operating Model'!G7&gt;0,G19/'Operating Model'!G7,0)</f>
        <v/>
      </c>
    </row>
    <row r="24">
      <c r="A24" s="3" t="inlineStr">
        <is>
          <t>Exit Net Debt (Year 5, $M)</t>
        </is>
      </c>
      <c r="G24" s="5">
        <f>G20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Returns Analysis</t>
        </is>
      </c>
    </row>
    <row r="3">
      <c r="A3" s="2" t="inlineStr">
        <is>
          <t>Exit Valuation</t>
        </is>
      </c>
    </row>
    <row r="4">
      <c r="A4" s="3" t="inlineStr">
        <is>
          <t>Exit Year EBITDA ($M)</t>
        </is>
      </c>
      <c r="B4" s="21">
        <f>'Operating Model'!G7</f>
        <v/>
      </c>
    </row>
    <row r="5">
      <c r="A5" s="3" t="inlineStr">
        <is>
          <t>Exit EV/EBITDA (x)</t>
        </is>
      </c>
      <c r="B5" s="26">
        <f>'Deal Assumptions'!B50</f>
        <v/>
      </c>
    </row>
    <row r="6">
      <c r="A6" s="3" t="inlineStr">
        <is>
          <t>Exit Enterprise Value ($M)</t>
        </is>
      </c>
      <c r="B6" s="15">
        <f>B4*B5</f>
        <v/>
      </c>
    </row>
    <row r="7">
      <c r="A7" s="3" t="inlineStr">
        <is>
          <t>Less: Exit Net Debt ($M)</t>
        </is>
      </c>
      <c r="B7" s="21">
        <f>'Debt Schedule'!G20</f>
        <v/>
      </c>
    </row>
    <row r="8">
      <c r="A8" s="3" t="inlineStr">
        <is>
          <t>Exit Equity Value ($M)</t>
        </is>
      </c>
      <c r="B8" s="15">
        <f>B6-B7</f>
        <v/>
      </c>
    </row>
    <row r="10">
      <c r="A10" s="2" t="inlineStr">
        <is>
          <t>Cash Flow Waterfall</t>
        </is>
      </c>
    </row>
    <row r="11">
      <c r="A11" s="3" t="inlineStr">
        <is>
          <t>Initial Equity Investment ($M)</t>
        </is>
      </c>
      <c r="B11" s="21">
        <f>-'Deal Assumptions'!B31</f>
        <v/>
      </c>
    </row>
    <row r="12">
      <c r="A12" s="3" t="inlineStr">
        <is>
          <t>Exit Equity Proceeds ($M)</t>
        </is>
      </c>
      <c r="B12" s="5">
        <f>B8</f>
        <v/>
      </c>
    </row>
    <row r="14">
      <c r="A14" s="2" t="inlineStr">
        <is>
          <t>Return Metrics</t>
        </is>
      </c>
    </row>
    <row r="15">
      <c r="A15" s="3" t="inlineStr">
        <is>
          <t>MOIC (Multiple of Invested Capital)</t>
        </is>
      </c>
      <c r="B15" s="28">
        <f>B12/-B11</f>
        <v/>
      </c>
    </row>
    <row r="16">
      <c r="A16" s="3" t="inlineStr">
        <is>
          <t>IRR (%)</t>
        </is>
      </c>
      <c r="B16" s="29">
        <f>(B12/-B11)^(1/'Deal Assumptions'!B49)-1</f>
        <v/>
      </c>
    </row>
    <row r="18">
      <c r="A18" s="3" t="inlineStr">
        <is>
          <t>Hold Period (Years)</t>
        </is>
      </c>
      <c r="B18" s="30">
        <f>'Deal Assumptions'!B49</f>
        <v/>
      </c>
    </row>
    <row r="19">
      <c r="A19" s="3" t="inlineStr">
        <is>
          <t>Equity Invested ($M)</t>
        </is>
      </c>
      <c r="B19" s="5">
        <f>-B11</f>
        <v/>
      </c>
    </row>
    <row r="20">
      <c r="A20" s="3" t="inlineStr">
        <is>
          <t>Exit Equity Value ($M)</t>
        </is>
      </c>
      <c r="B20" s="5">
        <f>B12</f>
        <v/>
      </c>
    </row>
    <row r="21">
      <c r="A21" s="3" t="inlineStr">
        <is>
          <t>Gross Profit ($M)</t>
        </is>
      </c>
      <c r="B21" s="15">
        <f>B12+B11</f>
        <v/>
      </c>
    </row>
    <row r="23">
      <c r="A23" s="2" t="inlineStr">
        <is>
          <t>Entry vs Exit Comparison</t>
        </is>
      </c>
    </row>
    <row r="24">
      <c r="A24" s="3" t="inlineStr">
        <is>
          <t>Entry EV/EBITDA (x)</t>
        </is>
      </c>
      <c r="B24" s="26">
        <f>'Deal Assumptions'!B26</f>
        <v/>
      </c>
    </row>
    <row r="25">
      <c r="A25" s="3" t="inlineStr">
        <is>
          <t>Exit EV/EBITDA (x)</t>
        </is>
      </c>
      <c r="B25" s="26">
        <f>'Deal Assumptions'!B50</f>
        <v/>
      </c>
    </row>
    <row r="26">
      <c r="A26" s="3" t="inlineStr">
        <is>
          <t>Multiple Expansion/Contraction</t>
        </is>
      </c>
      <c r="B26" s="16">
        <f>B25/B24-1</f>
        <v/>
      </c>
    </row>
    <row r="27">
      <c r="A27" s="3" t="inlineStr">
        <is>
          <t>EBITDA Growth (x)</t>
        </is>
      </c>
      <c r="B27" s="17">
        <f>B4/'Deal Assumptions'!B23</f>
        <v/>
      </c>
    </row>
    <row r="28">
      <c r="A28" s="3" t="inlineStr">
        <is>
          <t>Debt Paydown ($M)</t>
        </is>
      </c>
      <c r="B28" s="15">
        <f>'Debt Schedule'!B20-'Debt Schedule'!G20</f>
        <v/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Sensitivity Analysis (5x5)</t>
        </is>
      </c>
    </row>
    <row r="3">
      <c r="A3" s="2" t="inlineStr">
        <is>
          <t>IRR Sensitivity (%)</t>
        </is>
      </c>
    </row>
    <row r="4">
      <c r="A4" s="3" t="inlineStr">
        <is>
          <t>Exit Mult \ Growth Adj</t>
        </is>
      </c>
      <c r="B4" s="24" t="inlineStr">
        <is>
          <t>-4%</t>
        </is>
      </c>
      <c r="C4" s="24" t="inlineStr">
        <is>
          <t>-2%</t>
        </is>
      </c>
      <c r="D4" s="24" t="inlineStr">
        <is>
          <t>Base</t>
        </is>
      </c>
      <c r="E4" s="24" t="inlineStr">
        <is>
          <t>+2%</t>
        </is>
      </c>
      <c r="F4" s="24" t="inlineStr">
        <is>
          <t>+4%</t>
        </is>
      </c>
    </row>
    <row r="5">
      <c r="A5" s="31" t="inlineStr">
        <is>
          <t>18x</t>
        </is>
      </c>
      <c r="B5" s="32" t="n">
        <v>0.04287569103070266</v>
      </c>
      <c r="C5" s="32" t="n">
        <v>0.06943676525178089</v>
      </c>
      <c r="D5" s="32" t="n">
        <v>0.09359449290283495</v>
      </c>
      <c r="E5" s="32" t="n">
        <v>0.1157889030163186</v>
      </c>
      <c r="F5" s="32" t="n">
        <v>0.1363461753537365</v>
      </c>
    </row>
    <row r="6">
      <c r="A6" s="31" t="inlineStr">
        <is>
          <t>20x</t>
        </is>
      </c>
      <c r="B6" s="32" t="n">
        <v>0.06661366984121608</v>
      </c>
      <c r="C6" s="32" t="n">
        <v>0.09359449290283495</v>
      </c>
      <c r="D6" s="32" t="n">
        <v>0.1181487720688861</v>
      </c>
      <c r="E6" s="32" t="n">
        <v>0.1407183602549347</v>
      </c>
      <c r="F6" s="32" t="n">
        <v>0.1616313564401946</v>
      </c>
    </row>
    <row r="7">
      <c r="A7" s="31" t="inlineStr">
        <is>
          <t>22x</t>
        </is>
      </c>
      <c r="B7" s="32" t="n">
        <v>0.08840916436557045</v>
      </c>
      <c r="C7" s="32" t="n">
        <v>0.1157889030163186</v>
      </c>
      <c r="D7" s="33" t="n">
        <v>0.1407183602549344</v>
      </c>
      <c r="E7" s="32" t="n">
        <v>0.1636417291297776</v>
      </c>
      <c r="F7" s="32" t="n">
        <v>0.1848893086335719</v>
      </c>
    </row>
    <row r="8">
      <c r="A8" s="31" t="inlineStr">
        <is>
          <t>24x</t>
        </is>
      </c>
      <c r="B8" s="32" t="n">
        <v>0.1085869119934268</v>
      </c>
      <c r="C8" s="32" t="n">
        <v>0.1363461753537365</v>
      </c>
      <c r="D8" s="32" t="n">
        <v>0.1616313564401946</v>
      </c>
      <c r="E8" s="32" t="n">
        <v>0.1848893086335719</v>
      </c>
      <c r="F8" s="32" t="n">
        <v>0.2064526938469593</v>
      </c>
    </row>
    <row r="9">
      <c r="A9" s="31" t="inlineStr">
        <is>
          <t>26x</t>
        </is>
      </c>
      <c r="B9" s="32" t="n">
        <v>0.127394322567334</v>
      </c>
      <c r="C9" s="32" t="n">
        <v>0.1555152613527744</v>
      </c>
      <c r="D9" s="32" t="n">
        <v>0.1811385294536116</v>
      </c>
      <c r="E9" s="32" t="n">
        <v>0.2047138370951627</v>
      </c>
      <c r="F9" s="32" t="n">
        <v>0.2265762985546522</v>
      </c>
    </row>
    <row r="12">
      <c r="A12" s="2" t="inlineStr">
        <is>
          <t>MOIC Sensitivity (x)</t>
        </is>
      </c>
    </row>
    <row r="13">
      <c r="A13" s="3" t="inlineStr">
        <is>
          <t>Exit Mult \ Growth Adj</t>
        </is>
      </c>
      <c r="B13" s="24" t="inlineStr">
        <is>
          <t>-4%</t>
        </is>
      </c>
      <c r="C13" s="24" t="inlineStr">
        <is>
          <t>-2%</t>
        </is>
      </c>
      <c r="D13" s="24" t="inlineStr">
        <is>
          <t>Base</t>
        </is>
      </c>
      <c r="E13" s="24" t="inlineStr">
        <is>
          <t>+2%</t>
        </is>
      </c>
      <c r="F13" s="24" t="inlineStr">
        <is>
          <t>+4%</t>
        </is>
      </c>
    </row>
    <row r="14">
      <c r="A14" s="31" t="inlineStr">
        <is>
          <t>18x</t>
        </is>
      </c>
      <c r="B14" s="34" t="n">
        <v>1.233566940550991</v>
      </c>
      <c r="C14" s="34" t="n">
        <v>1.398864185596907</v>
      </c>
      <c r="D14" s="34" t="n">
        <v>1.564161430642823</v>
      </c>
      <c r="E14" s="34" t="n">
        <v>1.729458675688739</v>
      </c>
      <c r="F14" s="34" t="n">
        <v>1.894755920734654</v>
      </c>
    </row>
    <row r="15">
      <c r="A15" s="31" t="inlineStr">
        <is>
          <t>20x</t>
        </is>
      </c>
      <c r="B15" s="34" t="n">
        <v>1.380497825036249</v>
      </c>
      <c r="C15" s="34" t="n">
        <v>1.564161430642823</v>
      </c>
      <c r="D15" s="34" t="n">
        <v>1.747825036249396</v>
      </c>
      <c r="E15" s="34" t="n">
        <v>1.93148864185597</v>
      </c>
      <c r="F15" s="34" t="n">
        <v>2.115152247462542</v>
      </c>
    </row>
    <row r="16">
      <c r="A16" s="31" t="inlineStr">
        <is>
          <t>22x</t>
        </is>
      </c>
      <c r="B16" s="34" t="n">
        <v>1.527428709521508</v>
      </c>
      <c r="C16" s="34" t="n">
        <v>1.729458675688738</v>
      </c>
      <c r="D16" s="35" t="n">
        <v>1.931488641855969</v>
      </c>
      <c r="E16" s="34" t="n">
        <v>2.1335186080232</v>
      </c>
      <c r="F16" s="34" t="n">
        <v>2.33554857419043</v>
      </c>
    </row>
    <row r="17">
      <c r="A17" s="31" t="inlineStr">
        <is>
          <t>24x</t>
        </is>
      </c>
      <c r="B17" s="34" t="n">
        <v>1.674359594006767</v>
      </c>
      <c r="C17" s="34" t="n">
        <v>1.894755920734654</v>
      </c>
      <c r="D17" s="34" t="n">
        <v>2.115152247462542</v>
      </c>
      <c r="E17" s="34" t="n">
        <v>2.33554857419043</v>
      </c>
      <c r="F17" s="34" t="n">
        <v>2.555944900918318</v>
      </c>
    </row>
    <row r="18">
      <c r="A18" s="31" t="inlineStr">
        <is>
          <t>26x</t>
        </is>
      </c>
      <c r="B18" s="34" t="n">
        <v>1.821290478492025</v>
      </c>
      <c r="C18" s="34" t="n">
        <v>2.060053165780571</v>
      </c>
      <c r="D18" s="34" t="n">
        <v>2.298815853069116</v>
      </c>
      <c r="E18" s="34" t="n">
        <v>2.537578540357661</v>
      </c>
      <c r="F18" s="34" t="n">
        <v>2.776341227646206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2026-05-10T12:36:00Z</dcterms:created>
  <dcterms:modified xmlns:dcterms="http://purl.org/dc/terms/" xmlns:xsi="http://www.w3.org/2001/XMLSchema-instance" xsi:type="dcterms:W3CDTF">2026-05-10T12:36:00Z</dcterms:modified>
</cp:coreProperties>
</file>