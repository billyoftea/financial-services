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摘要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资产负债表" sheetId="3" state="visible" r:id="rId3"/>
    <sheet xmlns:r="http://schemas.openxmlformats.org/officeDocument/2006/relationships" name="现金流量表" sheetId="4" state="visible" r:id="rId4"/>
    <sheet xmlns:r="http://schemas.openxmlformats.org/officeDocument/2006/relationships" name="运营指标" sheetId="5" state="visible" r:id="rId5"/>
    <sheet xmlns:r="http://schemas.openxmlformats.org/officeDocument/2006/relationships" name="分部业绩" sheetId="6" state="visible" r:id="rId6"/>
    <sheet xmlns:r="http://schemas.openxmlformats.org/officeDocument/2006/relationships" name="市场分析" sheetId="7" state="visible" r:id="rId7"/>
    <sheet xmlns:r="http://schemas.openxmlformats.org/officeDocument/2006/relationships" name="投资亮点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$#,##0.0;($#,##0.0)"/>
  </numFmts>
  <fonts count="9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2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FF"/>
      <sz val="11"/>
    </font>
    <font>
      <name val="Calibri"/>
      <color rgb="00666666"/>
      <sz val="9"/>
    </font>
    <font>
      <name val="Calibri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bottom style="double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E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Salesforce, Inc. (NYSE: CRM) - 投资数据包</t>
        </is>
      </c>
    </row>
    <row r="3">
      <c r="A3" s="2" t="inlineStr">
        <is>
          <t>公司概述</t>
        </is>
      </c>
    </row>
    <row r="4">
      <c r="A4" s="3" t="inlineStr">
        <is>
          <t>Salesforce是全球领先的客户关系管理(CRM)软件及云服务提供商，总部位于美国旧金山。</t>
        </is>
      </c>
    </row>
    <row r="5">
      <c r="A5" s="3" t="inlineStr">
        <is>
          <t>公司通过订阅模式提供Sales Cloud、Service Cloud、Marketing Cloud、Platform、Data Cloud及AI(Agentforce)等产品。</t>
        </is>
      </c>
    </row>
    <row r="7">
      <c r="A7" s="2" t="inlineStr">
        <is>
          <t>关键投资要点</t>
        </is>
      </c>
    </row>
    <row r="8">
      <c r="A8" s="3" t="inlineStr">
        <is>
          <t>1. 全球CRM市场份额20.7%，连续多年位居第一 (IDC 2025 Tracker)</t>
        </is>
      </c>
    </row>
    <row r="9">
      <c r="A9" s="3" t="inlineStr">
        <is>
          <t>2. FY2026收入达$41.5B，连续多年保持稳健增长 (+9.6% YoY)</t>
        </is>
      </c>
    </row>
    <row r="10">
      <c r="A10" s="3" t="inlineStr">
        <is>
          <t>3. 盈利能力大幅提升: 净利润率从FY2023的0.7%提升至FY2026的18.0%</t>
        </is>
      </c>
    </row>
    <row r="11">
      <c r="A11" s="3" t="inlineStr">
        <is>
          <t>4. FY2026经营性现金流约$15B，自由现金流约$14.4B，现金生成能力强劲</t>
        </is>
      </c>
    </row>
    <row r="12">
      <c r="A12" s="3" t="inlineStr">
        <is>
          <t>5. RPO达$72.4B，同比增长14%，反映未来收入可见性极高</t>
        </is>
      </c>
    </row>
    <row r="13">
      <c r="A13" s="3" t="inlineStr">
        <is>
          <t>6. AI战略 (Agentforce) 代表下一增长引擎，FY2026处理2.4B Agentic Work Units</t>
        </is>
      </c>
    </row>
    <row r="15">
      <c r="A15" s="2" t="inlineStr">
        <is>
          <t>财务快照</t>
        </is>
      </c>
    </row>
    <row r="16">
      <c r="A16" s="4" t="inlineStr">
        <is>
          <t>(单位: 百万美元)</t>
        </is>
      </c>
      <c r="B16" s="5" t="inlineStr">
        <is>
          <t>FY2023</t>
        </is>
      </c>
      <c r="C16" s="5" t="inlineStr">
        <is>
          <t>FY2024</t>
        </is>
      </c>
      <c r="D16" s="5" t="inlineStr">
        <is>
          <t>FY2025</t>
        </is>
      </c>
      <c r="E16" s="5" t="inlineStr">
        <is>
          <t>FY2026</t>
        </is>
      </c>
    </row>
    <row r="17">
      <c r="A17" s="6" t="inlineStr">
        <is>
          <t>总收入</t>
        </is>
      </c>
      <c r="B17" s="7" t="n">
        <v>31352</v>
      </c>
      <c r="C17" s="7" t="n">
        <v>34857</v>
      </c>
      <c r="D17" s="7" t="n">
        <v>37895</v>
      </c>
      <c r="E17" s="7" t="n">
        <v>41525</v>
      </c>
    </row>
    <row r="18">
      <c r="A18" s="8" t="inlineStr">
        <is>
          <t>同比增长率</t>
        </is>
      </c>
      <c r="B18" s="9" t="n"/>
      <c r="C18" s="9">
        <f>C17/B17-1</f>
        <v/>
      </c>
      <c r="D18" s="9">
        <f>D17/C17-1</f>
        <v/>
      </c>
      <c r="E18" s="9">
        <f>E17/D17-1</f>
        <v/>
      </c>
    </row>
    <row r="19">
      <c r="A19" s="6" t="inlineStr">
        <is>
          <t>毛利润</t>
        </is>
      </c>
      <c r="B19" s="7" t="n">
        <v>23699</v>
      </c>
      <c r="C19" s="7" t="n">
        <v>27218</v>
      </c>
      <c r="D19" s="7" t="n">
        <v>29252</v>
      </c>
      <c r="E19" s="7" t="n">
        <v>32255</v>
      </c>
    </row>
    <row r="20">
      <c r="A20" s="6" t="inlineStr">
        <is>
          <t>营业利润</t>
        </is>
      </c>
      <c r="B20" s="7" t="n">
        <v>4563</v>
      </c>
      <c r="C20" s="7" t="n">
        <v>5014</v>
      </c>
      <c r="D20" s="7" t="n">
        <v>7205</v>
      </c>
      <c r="E20" s="7" t="n">
        <v>8917</v>
      </c>
    </row>
    <row r="21">
      <c r="A21" s="6" t="inlineStr">
        <is>
          <t>净利润</t>
        </is>
      </c>
      <c r="B21" s="7" t="n">
        <v>208</v>
      </c>
      <c r="C21" s="7" t="n">
        <v>4136</v>
      </c>
      <c r="D21" s="7" t="n">
        <v>6197</v>
      </c>
      <c r="E21" s="7" t="n">
        <v>7457</v>
      </c>
    </row>
    <row r="22">
      <c r="A22" s="6" t="inlineStr">
        <is>
          <t>经营性现金流</t>
        </is>
      </c>
      <c r="B22" s="7" t="n">
        <v>10234</v>
      </c>
      <c r="C22" s="7" t="n">
        <v>13092</v>
      </c>
      <c r="D22" s="7" t="n">
        <v>13100</v>
      </c>
      <c r="E22" s="7" t="n">
        <v>14996</v>
      </c>
    </row>
    <row r="23">
      <c r="A23" s="6" t="inlineStr">
        <is>
          <t>自由现金流</t>
        </is>
      </c>
      <c r="B23" s="7" t="n">
        <v>9498</v>
      </c>
      <c r="C23" s="7" t="n">
        <v>12434</v>
      </c>
      <c r="D23" s="7" t="n">
        <v>12400</v>
      </c>
      <c r="E23" s="7" t="n">
        <v>14402</v>
      </c>
    </row>
    <row r="24">
      <c r="A24" s="6" t="inlineStr">
        <is>
          <t>总资产</t>
        </is>
      </c>
      <c r="B24" s="7" t="n">
        <v>99823</v>
      </c>
      <c r="C24" s="7" t="n">
        <v>102928</v>
      </c>
      <c r="D24" s="7" t="n">
        <v>112305</v>
      </c>
      <c r="E24" s="7" t="n">
        <v>112300</v>
      </c>
    </row>
    <row r="25">
      <c r="A25" s="6" t="inlineStr">
        <is>
          <t>员工人数</t>
        </is>
      </c>
      <c r="B25" s="10" t="n">
        <v>79390</v>
      </c>
      <c r="C25" s="10" t="n">
        <v>72682</v>
      </c>
      <c r="D25" s="10" t="n">
        <v>76453</v>
      </c>
      <c r="E25" s="10" t="n">
        <v>83334</v>
      </c>
    </row>
    <row r="26">
      <c r="A26" s="6" t="inlineStr">
        <is>
          <t>RPO (十亿美元)</t>
        </is>
      </c>
      <c r="B26" s="7" t="n">
        <v>46.7</v>
      </c>
      <c r="C26" s="7" t="n">
        <v>56.2</v>
      </c>
      <c r="D26" s="7" t="n">
        <v>63.5</v>
      </c>
      <c r="E26" s="7" t="n">
        <v>72.40000000000001</v>
      </c>
    </row>
    <row r="28">
      <c r="A28" s="2" t="inlineStr">
        <is>
          <t>数据来源说明</t>
        </is>
      </c>
    </row>
    <row r="29">
      <c r="A29" s="11" t="inlineStr">
        <is>
          <t>数据来源: Yahoo Finance, Macrotrends, Salesforce SEC 10-K/10-Q, Salesforce Investor Relations</t>
        </is>
      </c>
    </row>
    <row r="30">
      <c r="A30" s="11" t="inlineStr">
        <is>
          <t>财年截止日: 1月31日 (如FY2026 = 2025-02-01 至 2026-01-31)</t>
        </is>
      </c>
    </row>
    <row r="31">
      <c r="A31" s="11" t="inlineStr">
        <is>
          <t>生成日期: 2026-05-10</t>
        </is>
      </c>
    </row>
  </sheetData>
  <mergeCells count="16">
    <mergeCell ref="A30:E30"/>
    <mergeCell ref="A12:E12"/>
    <mergeCell ref="A4:E4"/>
    <mergeCell ref="A29:E29"/>
    <mergeCell ref="A15:E15"/>
    <mergeCell ref="A7:E7"/>
    <mergeCell ref="A10:E10"/>
    <mergeCell ref="A28:E28"/>
    <mergeCell ref="A11:E11"/>
    <mergeCell ref="A1:E1"/>
    <mergeCell ref="A5:E5"/>
    <mergeCell ref="A13:E13"/>
    <mergeCell ref="A8:E8"/>
    <mergeCell ref="A31:E31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Salesforce, Inc. - 利润表 (Income Statement)</t>
        </is>
      </c>
    </row>
    <row r="2">
      <c r="A2" s="4" t="inlineStr">
        <is>
          <t>(单位: 百万美元)</t>
        </is>
      </c>
      <c r="B2" s="5" t="inlineStr">
        <is>
          <t>FY2023</t>
        </is>
      </c>
      <c r="C2" s="5" t="inlineStr">
        <is>
          <t>FY2024</t>
        </is>
      </c>
      <c r="D2" s="5" t="inlineStr">
        <is>
          <t>FY2025</t>
        </is>
      </c>
      <c r="E2" s="5" t="inlineStr">
        <is>
          <t>FY2026</t>
        </is>
      </c>
    </row>
    <row r="3">
      <c r="A3" s="6" t="inlineStr">
        <is>
          <t>总收入</t>
        </is>
      </c>
      <c r="B3" s="7" t="n">
        <v>31352</v>
      </c>
      <c r="C3" s="7" t="n">
        <v>34857</v>
      </c>
      <c r="D3" s="7" t="n">
        <v>37895</v>
      </c>
      <c r="E3" s="7" t="n">
        <v>41525</v>
      </c>
    </row>
    <row r="4">
      <c r="A4" s="6" t="inlineStr">
        <is>
          <t xml:space="preserve">    订阅及支持服务收入</t>
        </is>
      </c>
      <c r="B4" s="7" t="n">
        <v>29024</v>
      </c>
      <c r="C4" s="7" t="n">
        <v>32489</v>
      </c>
      <c r="D4" s="7" t="n">
        <v>35700</v>
      </c>
      <c r="E4" s="7" t="n">
        <v>39230</v>
      </c>
    </row>
    <row r="5">
      <c r="A5" s="6" t="inlineStr">
        <is>
          <t xml:space="preserve">    专业服务及其他收入</t>
        </is>
      </c>
      <c r="B5" s="7" t="n">
        <v>2328</v>
      </c>
      <c r="C5" s="7" t="n">
        <v>2368</v>
      </c>
      <c r="D5" s="7" t="n">
        <v>2195</v>
      </c>
      <c r="E5" s="7" t="n">
        <v>2295</v>
      </c>
    </row>
    <row r="6">
      <c r="A6" s="12" t="inlineStr">
        <is>
          <t>收入合计 (验算)</t>
        </is>
      </c>
      <c r="B6" s="13">
        <f>B4+B5</f>
        <v/>
      </c>
      <c r="C6" s="13">
        <f>C4+C5</f>
        <v/>
      </c>
      <c r="D6" s="13">
        <f>D4+D5</f>
        <v/>
      </c>
      <c r="E6" s="13">
        <f>E4+E5</f>
        <v/>
      </c>
    </row>
    <row r="8">
      <c r="A8" s="6" t="inlineStr">
        <is>
          <t>营业成本</t>
        </is>
      </c>
      <c r="B8" s="7" t="n">
        <v>7653</v>
      </c>
      <c r="C8" s="7" t="n">
        <v>7639</v>
      </c>
      <c r="D8" s="7" t="n">
        <v>8643</v>
      </c>
      <c r="E8" s="7" t="n">
        <v>9270</v>
      </c>
    </row>
    <row r="9">
      <c r="A9" s="8" t="inlineStr">
        <is>
          <t>毛利润</t>
        </is>
      </c>
      <c r="B9" s="14">
        <f>B3-B8</f>
        <v/>
      </c>
      <c r="C9" s="14">
        <f>C3-C8</f>
        <v/>
      </c>
      <c r="D9" s="14">
        <f>D3-D8</f>
        <v/>
      </c>
      <c r="E9" s="14">
        <f>E3-E8</f>
        <v/>
      </c>
    </row>
    <row r="10">
      <c r="A10" s="6" t="inlineStr">
        <is>
          <t xml:space="preserve">  毛利率</t>
        </is>
      </c>
      <c r="B10" s="15">
        <f>B9/B3</f>
        <v/>
      </c>
      <c r="C10" s="15">
        <f>C9/C3</f>
        <v/>
      </c>
      <c r="D10" s="15">
        <f>D9/D3</f>
        <v/>
      </c>
      <c r="E10" s="15">
        <f>E9/E3</f>
        <v/>
      </c>
    </row>
    <row r="12">
      <c r="A12" s="2" t="inlineStr">
        <is>
          <t>营业费用</t>
        </is>
      </c>
    </row>
    <row r="13">
      <c r="A13" s="6" t="inlineStr">
        <is>
          <t xml:space="preserve">    研发费用</t>
        </is>
      </c>
      <c r="B13" s="7" t="n">
        <v>4428</v>
      </c>
      <c r="C13" s="7" t="n">
        <v>4950</v>
      </c>
      <c r="D13" s="7" t="n">
        <v>5480</v>
      </c>
      <c r="E13" s="7" t="n">
        <v>6050</v>
      </c>
    </row>
    <row r="14">
      <c r="A14" s="6" t="inlineStr">
        <is>
          <t xml:space="preserve">    销售与营销费用</t>
        </is>
      </c>
      <c r="B14" s="7" t="n">
        <v>12838</v>
      </c>
      <c r="C14" s="7" t="n">
        <v>13000</v>
      </c>
      <c r="D14" s="7" t="n">
        <v>13200</v>
      </c>
      <c r="E14" s="7" t="n">
        <v>13900</v>
      </c>
    </row>
    <row r="15">
      <c r="A15" s="6" t="inlineStr">
        <is>
          <t xml:space="preserve">    一般及行政费用</t>
        </is>
      </c>
      <c r="B15" s="7" t="n">
        <v>1870</v>
      </c>
      <c r="C15" s="7" t="n">
        <v>1800</v>
      </c>
      <c r="D15" s="7" t="n">
        <v>1700</v>
      </c>
      <c r="E15" s="7" t="n">
        <v>1750</v>
      </c>
    </row>
    <row r="16">
      <c r="A16" s="8" t="inlineStr">
        <is>
          <t>营业费用合计</t>
        </is>
      </c>
      <c r="B16" s="14">
        <f>B13+B14+B15</f>
        <v/>
      </c>
      <c r="C16" s="14">
        <f>C13+C14+C15</f>
        <v/>
      </c>
      <c r="D16" s="14">
        <f>D13+D14+D15</f>
        <v/>
      </c>
      <c r="E16" s="14">
        <f>E13+E14+E15</f>
        <v/>
      </c>
    </row>
    <row r="18">
      <c r="A18" s="8" t="inlineStr">
        <is>
          <t>营业利润</t>
        </is>
      </c>
      <c r="B18" s="14">
        <f>B9-B16</f>
        <v/>
      </c>
      <c r="C18" s="14">
        <f>C9-C16</f>
        <v/>
      </c>
      <c r="D18" s="14">
        <f>D9-D16</f>
        <v/>
      </c>
      <c r="E18" s="14">
        <f>E9-E16</f>
        <v/>
      </c>
    </row>
    <row r="19">
      <c r="A19" s="6" t="inlineStr">
        <is>
          <t xml:space="preserve">  营业利润率</t>
        </is>
      </c>
      <c r="B19" s="15">
        <f>B18/B3</f>
        <v/>
      </c>
      <c r="C19" s="15">
        <f>C18/C3</f>
        <v/>
      </c>
      <c r="D19" s="15">
        <f>D18/D3</f>
        <v/>
      </c>
      <c r="E19" s="15">
        <f>E18/E3</f>
        <v/>
      </c>
    </row>
    <row r="21">
      <c r="A21" s="6" t="inlineStr">
        <is>
          <t xml:space="preserve">    折旧与摊销</t>
        </is>
      </c>
      <c r="B21" s="7" t="n">
        <v>1350</v>
      </c>
      <c r="C21" s="7" t="n">
        <v>1420</v>
      </c>
      <c r="D21" s="7" t="n">
        <v>1500</v>
      </c>
      <c r="E21" s="7" t="n">
        <v>1600</v>
      </c>
    </row>
    <row r="22">
      <c r="A22" s="6" t="inlineStr">
        <is>
          <t xml:space="preserve">    股权激励费用 (SBC)</t>
        </is>
      </c>
      <c r="B22" s="7" t="n">
        <v>2800</v>
      </c>
      <c r="C22" s="7" t="n">
        <v>2900</v>
      </c>
      <c r="D22" s="7" t="n">
        <v>3000</v>
      </c>
      <c r="E22" s="7" t="n">
        <v>3200</v>
      </c>
    </row>
    <row r="23">
      <c r="A23" s="8" t="inlineStr">
        <is>
          <t>EBITDA</t>
        </is>
      </c>
      <c r="B23" s="14">
        <f>B18+B21</f>
        <v/>
      </c>
      <c r="C23" s="14">
        <f>C18+C21</f>
        <v/>
      </c>
      <c r="D23" s="14">
        <f>D18+D21</f>
        <v/>
      </c>
      <c r="E23" s="14">
        <f>E18+E21</f>
        <v/>
      </c>
    </row>
    <row r="24">
      <c r="A24" s="8" t="inlineStr">
        <is>
          <t>调整后EBITDA (含SBC加回)</t>
        </is>
      </c>
      <c r="B24" s="14">
        <f>B23+B22</f>
        <v/>
      </c>
      <c r="C24" s="14">
        <f>C23+C22</f>
        <v/>
      </c>
      <c r="D24" s="14">
        <f>D23+D22</f>
        <v/>
      </c>
      <c r="E24" s="14">
        <f>E23+E22</f>
        <v/>
      </c>
    </row>
    <row r="26">
      <c r="A26" s="6" t="inlineStr">
        <is>
          <t xml:space="preserve">  利息费用</t>
        </is>
      </c>
      <c r="B26" s="7" t="n">
        <v>600</v>
      </c>
      <c r="C26" s="7" t="n">
        <v>550</v>
      </c>
      <c r="D26" s="7" t="n">
        <v>500</v>
      </c>
      <c r="E26" s="7" t="n">
        <v>450</v>
      </c>
    </row>
    <row r="27">
      <c r="A27" s="6" t="inlineStr">
        <is>
          <t xml:space="preserve">  其他收入/(费用)</t>
        </is>
      </c>
      <c r="B27" s="13" t="n"/>
      <c r="C27" s="7" t="n">
        <v>200</v>
      </c>
      <c r="D27" s="7" t="n">
        <v>300</v>
      </c>
      <c r="E27" s="7" t="n">
        <v>350</v>
      </c>
    </row>
    <row r="28">
      <c r="A28" s="16" t="inlineStr">
        <is>
          <t>净利润</t>
        </is>
      </c>
      <c r="B28" s="17" t="n">
        <v>208</v>
      </c>
      <c r="C28" s="17" t="n">
        <v>4136</v>
      </c>
      <c r="D28" s="17" t="n">
        <v>6197</v>
      </c>
      <c r="E28" s="17" t="n">
        <v>7457</v>
      </c>
    </row>
    <row r="29">
      <c r="A29" s="6" t="inlineStr">
        <is>
          <t xml:space="preserve">  净利润率</t>
        </is>
      </c>
      <c r="B29" s="15">
        <f>B28/B3</f>
        <v/>
      </c>
      <c r="C29" s="15">
        <f>C28/C3</f>
        <v/>
      </c>
      <c r="D29" s="15">
        <f>D28/D3</f>
        <v/>
      </c>
      <c r="E29" s="15">
        <f>E28/E3</f>
        <v/>
      </c>
    </row>
  </sheetData>
  <mergeCells count="2">
    <mergeCell ref="A1:E1"/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E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Salesforce, Inc. - 资产负债表 (Balance Sheet)</t>
        </is>
      </c>
    </row>
    <row r="2">
      <c r="A2" s="4" t="inlineStr">
        <is>
          <t>(单位: 百万美元)</t>
        </is>
      </c>
      <c r="B2" s="5" t="inlineStr">
        <is>
          <t>FY2023</t>
        </is>
      </c>
      <c r="C2" s="5" t="inlineStr">
        <is>
          <t>FY2024</t>
        </is>
      </c>
      <c r="D2" s="5" t="inlineStr">
        <is>
          <t>FY2025</t>
        </is>
      </c>
      <c r="E2" s="5" t="inlineStr">
        <is>
          <t>FY2026</t>
        </is>
      </c>
    </row>
    <row r="3">
      <c r="A3" s="2" t="inlineStr">
        <is>
          <t>流动资产</t>
        </is>
      </c>
    </row>
    <row r="4">
      <c r="A4" s="6" t="inlineStr">
        <is>
          <t xml:space="preserve">    现金及等价物</t>
        </is>
      </c>
      <c r="B4" s="7" t="n">
        <v>7229</v>
      </c>
      <c r="C4" s="7" t="n">
        <v>8472</v>
      </c>
      <c r="D4" s="7" t="n">
        <v>8848</v>
      </c>
      <c r="E4" s="7" t="n">
        <v>7327</v>
      </c>
    </row>
    <row r="5">
      <c r="A5" s="6" t="inlineStr">
        <is>
          <t xml:space="preserve">    短期投资</t>
        </is>
      </c>
      <c r="B5" s="7" t="n">
        <v>1900</v>
      </c>
      <c r="C5" s="7" t="n">
        <v>1300</v>
      </c>
      <c r="D5" s="7" t="n">
        <v>1600</v>
      </c>
      <c r="E5" s="7" t="n">
        <v>4000</v>
      </c>
    </row>
    <row r="6">
      <c r="A6" s="6" t="inlineStr">
        <is>
          <t xml:space="preserve">    应收账款</t>
        </is>
      </c>
      <c r="B6" s="7" t="n">
        <v>4370</v>
      </c>
      <c r="C6" s="7" t="n">
        <v>5300</v>
      </c>
      <c r="D6" s="7" t="n">
        <v>5500</v>
      </c>
      <c r="E6" s="7" t="n">
        <v>5800</v>
      </c>
    </row>
    <row r="7">
      <c r="A7" s="6" t="inlineStr">
        <is>
          <t xml:space="preserve">    其他流动资产</t>
        </is>
      </c>
      <c r="B7" s="7" t="n">
        <v>2850</v>
      </c>
      <c r="C7" s="7" t="n">
        <v>2628</v>
      </c>
      <c r="D7" s="7" t="n">
        <v>2600</v>
      </c>
      <c r="E7" s="7" t="n">
        <v>2800</v>
      </c>
    </row>
    <row r="8">
      <c r="A8" s="8" t="inlineStr">
        <is>
          <t>流动资产合计</t>
        </is>
      </c>
      <c r="B8" s="14">
        <f>B4+B5+B6+B7</f>
        <v/>
      </c>
      <c r="C8" s="14">
        <f>C4+C5+C6+C7</f>
        <v/>
      </c>
      <c r="D8" s="14">
        <f>D4+D5+D6+D7</f>
        <v/>
      </c>
      <c r="E8" s="14">
        <f>E4+E5+E6+E7</f>
        <v/>
      </c>
    </row>
    <row r="10">
      <c r="A10" s="2" t="inlineStr">
        <is>
          <t>非流动资产</t>
        </is>
      </c>
    </row>
    <row r="11">
      <c r="A11" s="6" t="inlineStr">
        <is>
          <t xml:space="preserve">    固定资产净值 (PP&amp;E)</t>
        </is>
      </c>
      <c r="B11" s="7" t="n">
        <v>1830</v>
      </c>
      <c r="C11" s="7" t="n">
        <v>1700</v>
      </c>
      <c r="D11" s="7" t="n">
        <v>1800</v>
      </c>
      <c r="E11" s="7" t="n">
        <v>1900</v>
      </c>
    </row>
    <row r="12">
      <c r="A12" s="6" t="inlineStr">
        <is>
          <t xml:space="preserve">    商誉</t>
        </is>
      </c>
      <c r="B12" s="7" t="n">
        <v>47800</v>
      </c>
      <c r="C12" s="7" t="n">
        <v>48000</v>
      </c>
      <c r="D12" s="7" t="n">
        <v>48500</v>
      </c>
      <c r="E12" s="7" t="n">
        <v>49500</v>
      </c>
    </row>
    <row r="13">
      <c r="A13" s="6" t="inlineStr">
        <is>
          <t xml:space="preserve">    无形资产</t>
        </is>
      </c>
      <c r="B13" s="7" t="n">
        <v>26500</v>
      </c>
      <c r="C13" s="7" t="n">
        <v>25800</v>
      </c>
      <c r="D13" s="7" t="n">
        <v>25200</v>
      </c>
      <c r="E13" s="7" t="n">
        <v>24800</v>
      </c>
    </row>
    <row r="14">
      <c r="A14" s="6" t="inlineStr">
        <is>
          <t xml:space="preserve">    其他非流动资产</t>
        </is>
      </c>
      <c r="B14" s="7" t="n">
        <v>8174</v>
      </c>
      <c r="C14" s="7" t="n">
        <v>9728</v>
      </c>
      <c r="D14" s="7" t="n">
        <v>8257</v>
      </c>
      <c r="E14" s="7" t="n">
        <v>8173</v>
      </c>
    </row>
    <row r="15">
      <c r="A15" s="18" t="inlineStr">
        <is>
          <t>资产总计</t>
        </is>
      </c>
      <c r="B15" s="19">
        <f>B8+B11+B12+B13+B14</f>
        <v/>
      </c>
      <c r="C15" s="19">
        <f>C8+C11+C12+C13+C14</f>
        <v/>
      </c>
      <c r="D15" s="19">
        <f>D8+D11+D12+D13+D14</f>
        <v/>
      </c>
      <c r="E15" s="19">
        <f>E8+E11+E12+E13+E14</f>
        <v/>
      </c>
    </row>
    <row r="17">
      <c r="A17" s="2" t="inlineStr">
        <is>
          <t>流动负债</t>
        </is>
      </c>
    </row>
    <row r="18">
      <c r="A18" s="6" t="inlineStr">
        <is>
          <t xml:space="preserve">    应付账款</t>
        </is>
      </c>
      <c r="B18" s="7" t="n">
        <v>950</v>
      </c>
      <c r="C18" s="7" t="n">
        <v>1050</v>
      </c>
      <c r="D18" s="7" t="n">
        <v>1100</v>
      </c>
      <c r="E18" s="7" t="n">
        <v>1150</v>
      </c>
    </row>
    <row r="19">
      <c r="A19" s="6" t="inlineStr">
        <is>
          <t xml:space="preserve">    应计费用</t>
        </is>
      </c>
      <c r="B19" s="7" t="n">
        <v>7450</v>
      </c>
      <c r="C19" s="7" t="n">
        <v>8200</v>
      </c>
      <c r="D19" s="7" t="n">
        <v>8800</v>
      </c>
      <c r="E19" s="7" t="n">
        <v>9200</v>
      </c>
    </row>
    <row r="20">
      <c r="A20" s="6" t="inlineStr">
        <is>
          <t xml:space="preserve">    递延收入(流动)</t>
        </is>
      </c>
      <c r="B20" s="7" t="n">
        <v>6200</v>
      </c>
      <c r="C20" s="7" t="n">
        <v>6800</v>
      </c>
      <c r="D20" s="7" t="n">
        <v>7200</v>
      </c>
      <c r="E20" s="7" t="n">
        <v>7800</v>
      </c>
    </row>
    <row r="21">
      <c r="A21" s="6" t="inlineStr">
        <is>
          <t xml:space="preserve">    一年内到期债务</t>
        </is>
      </c>
      <c r="B21" s="7" t="n">
        <v>1500</v>
      </c>
      <c r="C21" s="7" t="n">
        <v>2500</v>
      </c>
      <c r="D21" s="7" t="n">
        <v>2500</v>
      </c>
      <c r="E21" s="7" t="n">
        <v>2500</v>
      </c>
    </row>
    <row r="22">
      <c r="A22" s="6" t="inlineStr">
        <is>
          <t xml:space="preserve">    其他流动负债</t>
        </is>
      </c>
      <c r="B22" s="7" t="n">
        <v>1800</v>
      </c>
      <c r="C22" s="7" t="n">
        <v>1500</v>
      </c>
      <c r="D22" s="7" t="n">
        <v>1750</v>
      </c>
      <c r="E22" s="7" t="n">
        <v>1850</v>
      </c>
    </row>
    <row r="23">
      <c r="A23" s="8" t="inlineStr">
        <is>
          <t>流动负债合计</t>
        </is>
      </c>
      <c r="B23" s="14">
        <f>B18+B19+B20+B21+B22</f>
        <v/>
      </c>
      <c r="C23" s="14">
        <f>C18+C19+C20+C21+C22</f>
        <v/>
      </c>
      <c r="D23" s="14">
        <f>D18+D19+D20+D21+D22</f>
        <v/>
      </c>
      <c r="E23" s="14">
        <f>E18+E19+E20+E21+E22</f>
        <v/>
      </c>
    </row>
    <row r="25">
      <c r="A25" s="2" t="inlineStr">
        <is>
          <t>非流动负债</t>
        </is>
      </c>
    </row>
    <row r="26">
      <c r="A26" s="6" t="inlineStr">
        <is>
          <t xml:space="preserve">    长期债务</t>
        </is>
      </c>
      <c r="B26" s="7" t="n">
        <v>9890</v>
      </c>
      <c r="C26" s="7" t="n">
        <v>9400</v>
      </c>
      <c r="D26" s="7" t="n">
        <v>10400</v>
      </c>
      <c r="E26" s="7" t="n">
        <v>10800</v>
      </c>
    </row>
    <row r="27">
      <c r="A27" s="6" t="inlineStr">
        <is>
          <t xml:space="preserve">    递延收入(非流动)</t>
        </is>
      </c>
      <c r="B27" s="7" t="n">
        <v>3200</v>
      </c>
      <c r="C27" s="7" t="n">
        <v>3000</v>
      </c>
      <c r="D27" s="7" t="n">
        <v>3200</v>
      </c>
      <c r="E27" s="7" t="n">
        <v>3400</v>
      </c>
    </row>
    <row r="28">
      <c r="A28" s="6" t="inlineStr">
        <is>
          <t xml:space="preserve">    其他非流动负债</t>
        </is>
      </c>
      <c r="B28" s="7" t="n">
        <v>10770</v>
      </c>
      <c r="C28" s="7" t="n">
        <v>9305</v>
      </c>
      <c r="D28" s="7" t="n">
        <v>11213</v>
      </c>
      <c r="E28" s="7" t="n">
        <v>11800</v>
      </c>
    </row>
    <row r="29">
      <c r="A29" s="8" t="inlineStr">
        <is>
          <t>负债总计</t>
        </is>
      </c>
      <c r="B29" s="14">
        <f>B23+B26+B27+B28</f>
        <v/>
      </c>
      <c r="C29" s="14">
        <f>C23+C26+C27+C28</f>
        <v/>
      </c>
      <c r="D29" s="14">
        <f>D23+D26+D27+D28</f>
        <v/>
      </c>
      <c r="E29" s="14">
        <f>E23+E26+E27+E28</f>
        <v/>
      </c>
    </row>
    <row r="31">
      <c r="A31" s="2" t="inlineStr">
        <is>
          <t>股东权益</t>
        </is>
      </c>
    </row>
    <row r="32">
      <c r="A32" s="6" t="inlineStr">
        <is>
          <t xml:space="preserve">    普通股及资本公积</t>
        </is>
      </c>
      <c r="B32" s="7" t="n">
        <v>55000</v>
      </c>
      <c r="C32" s="7" t="n">
        <v>57000</v>
      </c>
      <c r="D32" s="7" t="n">
        <v>58000</v>
      </c>
      <c r="E32" s="7" t="n">
        <v>58000</v>
      </c>
    </row>
    <row r="33">
      <c r="A33" s="6" t="inlineStr">
        <is>
          <t xml:space="preserve">    留存收益</t>
        </is>
      </c>
      <c r="B33" s="7" t="n">
        <v>2100</v>
      </c>
      <c r="C33" s="7" t="n">
        <v>3950</v>
      </c>
      <c r="D33" s="7" t="n">
        <v>850</v>
      </c>
      <c r="E33" s="7" t="n">
        <v>690</v>
      </c>
    </row>
    <row r="34">
      <c r="A34" s="6" t="inlineStr">
        <is>
          <t xml:space="preserve">    累计其他综合收益</t>
        </is>
      </c>
      <c r="B34" s="7" t="n">
        <v>763</v>
      </c>
      <c r="C34" s="7" t="n">
        <v>223</v>
      </c>
      <c r="D34" s="7" t="n">
        <v>292</v>
      </c>
      <c r="E34" s="7" t="n">
        <v>-700</v>
      </c>
    </row>
    <row r="35">
      <c r="A35" s="8" t="inlineStr">
        <is>
          <t>股东权益合计</t>
        </is>
      </c>
      <c r="B35" s="14">
        <f>B32+B33+B34</f>
        <v/>
      </c>
      <c r="C35" s="14">
        <f>C32+C33+C34</f>
        <v/>
      </c>
      <c r="D35" s="14">
        <f>D32+D33+D34</f>
        <v/>
      </c>
      <c r="E35" s="14">
        <f>E32+E33+E34</f>
        <v/>
      </c>
    </row>
    <row r="37">
      <c r="A37" s="8" t="inlineStr">
        <is>
          <t>验算: 资产 - 负债 - 权益 (应为0)</t>
        </is>
      </c>
      <c r="B37" s="20">
        <f>B15-B29-B35</f>
        <v/>
      </c>
      <c r="C37" s="20">
        <f>C15-C29-C35</f>
        <v/>
      </c>
      <c r="D37" s="20">
        <f>D15-D29-D35</f>
        <v/>
      </c>
      <c r="E37" s="20">
        <f>E15-E29-E35</f>
        <v/>
      </c>
    </row>
    <row r="39">
      <c r="A39" s="8" t="inlineStr">
        <is>
          <t>营运资金</t>
        </is>
      </c>
      <c r="B39" s="14">
        <f>B8-B23</f>
        <v/>
      </c>
      <c r="C39" s="14">
        <f>C8-C23</f>
        <v/>
      </c>
      <c r="D39" s="14">
        <f>D8-D23</f>
        <v/>
      </c>
      <c r="E39" s="14">
        <f>E8-E23</f>
        <v/>
      </c>
    </row>
  </sheetData>
  <mergeCells count="6">
    <mergeCell ref="A10:E10"/>
    <mergeCell ref="A25:E25"/>
    <mergeCell ref="A1:E1"/>
    <mergeCell ref="A31:E31"/>
    <mergeCell ref="A17:E1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Salesforce, Inc. - 现金流量表 (Cash Flow Statement)</t>
        </is>
      </c>
    </row>
    <row r="2">
      <c r="A2" s="4" t="inlineStr">
        <is>
          <t>(单位: 百万美元)</t>
        </is>
      </c>
      <c r="B2" s="5" t="inlineStr">
        <is>
          <t>FY2023</t>
        </is>
      </c>
      <c r="C2" s="5" t="inlineStr">
        <is>
          <t>FY2024</t>
        </is>
      </c>
      <c r="D2" s="5" t="inlineStr">
        <is>
          <t>FY2025</t>
        </is>
      </c>
      <c r="E2" s="5" t="inlineStr">
        <is>
          <t>FY2026</t>
        </is>
      </c>
    </row>
    <row r="3">
      <c r="A3" s="2" t="inlineStr">
        <is>
          <t>经营活动现金流</t>
        </is>
      </c>
    </row>
    <row r="4">
      <c r="A4" s="6" t="inlineStr">
        <is>
          <t>净利润</t>
        </is>
      </c>
      <c r="B4" s="7" t="n">
        <v>208</v>
      </c>
      <c r="C4" s="7" t="n">
        <v>4136</v>
      </c>
      <c r="D4" s="7" t="n">
        <v>6197</v>
      </c>
      <c r="E4" s="7" t="n">
        <v>7457</v>
      </c>
    </row>
    <row r="5">
      <c r="A5" s="6" t="inlineStr">
        <is>
          <t xml:space="preserve">    折旧与摊销</t>
        </is>
      </c>
      <c r="B5" s="7" t="n">
        <v>1350</v>
      </c>
      <c r="C5" s="7" t="n">
        <v>1420</v>
      </c>
      <c r="D5" s="7" t="n">
        <v>1500</v>
      </c>
      <c r="E5" s="7" t="n">
        <v>1600</v>
      </c>
    </row>
    <row r="6">
      <c r="A6" s="6" t="inlineStr">
        <is>
          <t xml:space="preserve">    股权激励费用</t>
        </is>
      </c>
      <c r="B6" s="7" t="n">
        <v>2800</v>
      </c>
      <c r="C6" s="7" t="n">
        <v>2900</v>
      </c>
      <c r="D6" s="7" t="n">
        <v>3000</v>
      </c>
      <c r="E6" s="7" t="n">
        <v>3200</v>
      </c>
    </row>
    <row r="7">
      <c r="A7" s="6" t="inlineStr">
        <is>
          <t xml:space="preserve">    营运资金变动</t>
        </is>
      </c>
      <c r="B7" s="7" t="n">
        <v>-850</v>
      </c>
      <c r="C7" s="7" t="n">
        <v>1000</v>
      </c>
      <c r="D7" s="7" t="n">
        <v>-200</v>
      </c>
      <c r="E7" s="7" t="n">
        <v>1500</v>
      </c>
    </row>
    <row r="8">
      <c r="A8" s="6" t="inlineStr">
        <is>
          <t xml:space="preserve">    其他经营活动</t>
        </is>
      </c>
      <c r="B8" s="7" t="n">
        <v>200</v>
      </c>
      <c r="C8" s="7" t="n">
        <v>736</v>
      </c>
      <c r="D8" s="7" t="n">
        <v>2500</v>
      </c>
      <c r="E8" s="7" t="n">
        <v>1100</v>
      </c>
    </row>
    <row r="9">
      <c r="A9" s="8" t="inlineStr">
        <is>
          <t>经营活动现金流合计</t>
        </is>
      </c>
      <c r="B9" s="14">
        <f>B4+B5+B6+B7+B8</f>
        <v/>
      </c>
      <c r="C9" s="14">
        <f>C4+C5+C6+C7+C8</f>
        <v/>
      </c>
      <c r="D9" s="14">
        <f>D4+D5+D6+D7+D8</f>
        <v/>
      </c>
      <c r="E9" s="14">
        <f>E4+E5+E6+E7+E8</f>
        <v/>
      </c>
    </row>
    <row r="11">
      <c r="A11" s="2" t="inlineStr">
        <is>
          <t>投资活动现金流</t>
        </is>
      </c>
    </row>
    <row r="12">
      <c r="A12" s="6" t="inlineStr">
        <is>
          <t xml:space="preserve">    资本支出 (CapEx)</t>
        </is>
      </c>
      <c r="B12" s="7" t="n">
        <v>-736</v>
      </c>
      <c r="C12" s="7" t="n">
        <v>-658</v>
      </c>
      <c r="D12" s="7" t="n">
        <v>-700</v>
      </c>
      <c r="E12" s="7" t="n">
        <v>-594</v>
      </c>
    </row>
    <row r="13">
      <c r="A13" s="6" t="inlineStr">
        <is>
          <t xml:space="preserve">    收购</t>
        </is>
      </c>
      <c r="B13" s="13" t="n"/>
      <c r="C13" s="13" t="n"/>
      <c r="D13" s="13" t="n"/>
      <c r="E13" s="13" t="n"/>
    </row>
    <row r="14">
      <c r="A14" s="6" t="inlineStr">
        <is>
          <t xml:space="preserve">    其他投资活动</t>
        </is>
      </c>
      <c r="B14" s="7" t="n">
        <v>-1200</v>
      </c>
      <c r="C14" s="7" t="n">
        <v>-800</v>
      </c>
      <c r="D14" s="7" t="n">
        <v>-1100</v>
      </c>
      <c r="E14" s="7" t="n">
        <v>-900</v>
      </c>
    </row>
    <row r="15">
      <c r="A15" s="21" t="inlineStr">
        <is>
          <t>投资活动现金流合计</t>
        </is>
      </c>
      <c r="B15" s="22" t="n">
        <v>-1936</v>
      </c>
      <c r="C15" s="22" t="n">
        <v>-1458</v>
      </c>
      <c r="D15" s="22" t="n">
        <v>-1800</v>
      </c>
      <c r="E15" s="22" t="n">
        <v>-1494</v>
      </c>
    </row>
    <row r="17">
      <c r="A17" s="2" t="inlineStr">
        <is>
          <t>融资活动现金流</t>
        </is>
      </c>
    </row>
    <row r="18">
      <c r="A18" s="6" t="inlineStr">
        <is>
          <t xml:space="preserve">    债务偿还</t>
        </is>
      </c>
      <c r="B18" s="7" t="n">
        <v>-500</v>
      </c>
      <c r="C18" s="7" t="n">
        <v>-1200</v>
      </c>
      <c r="D18" s="7" t="n">
        <v>-900</v>
      </c>
      <c r="E18" s="7" t="n">
        <v>-1100</v>
      </c>
    </row>
    <row r="19">
      <c r="A19" s="6" t="inlineStr">
        <is>
          <t xml:space="preserve">    股票回购</t>
        </is>
      </c>
      <c r="B19" s="7" t="n">
        <v>-5500</v>
      </c>
      <c r="C19" s="7" t="n">
        <v>-7500</v>
      </c>
      <c r="D19" s="7" t="n">
        <v>-7800</v>
      </c>
      <c r="E19" s="7" t="n">
        <v>-9000</v>
      </c>
    </row>
    <row r="20">
      <c r="A20" s="6" t="inlineStr">
        <is>
          <t xml:space="preserve">    其他融资活动</t>
        </is>
      </c>
      <c r="B20" s="7" t="n">
        <v>-800</v>
      </c>
      <c r="C20" s="7" t="n">
        <v>-1800</v>
      </c>
      <c r="D20" s="7" t="n">
        <v>-600</v>
      </c>
      <c r="E20" s="7" t="n">
        <v>-5100</v>
      </c>
    </row>
    <row r="21">
      <c r="A21" s="8" t="inlineStr">
        <is>
          <t>融资活动现金流合计</t>
        </is>
      </c>
      <c r="B21" s="14">
        <f>B18+B19+B20</f>
        <v/>
      </c>
      <c r="C21" s="14">
        <f>C18+C19+C20</f>
        <v/>
      </c>
      <c r="D21" s="14">
        <f>D18+D19+D20</f>
        <v/>
      </c>
      <c r="E21" s="14">
        <f>E18+E19+E20</f>
        <v/>
      </c>
    </row>
    <row r="23">
      <c r="A23" s="6" t="inlineStr">
        <is>
          <t>现金净变动</t>
        </is>
      </c>
      <c r="B23" s="7" t="n">
        <v>1498</v>
      </c>
      <c r="C23" s="7" t="n">
        <v>1134</v>
      </c>
      <c r="D23" s="7" t="n">
        <v>2000</v>
      </c>
      <c r="E23" s="7" t="n">
        <v>-1698</v>
      </c>
    </row>
    <row r="24">
      <c r="A24" s="6" t="inlineStr">
        <is>
          <t>期初现金</t>
        </is>
      </c>
      <c r="B24" s="7" t="n">
        <v>7752</v>
      </c>
      <c r="C24" s="7" t="n">
        <v>9228</v>
      </c>
      <c r="D24" s="7" t="n">
        <v>8472</v>
      </c>
      <c r="E24" s="7" t="n">
        <v>8848</v>
      </c>
    </row>
    <row r="25">
      <c r="A25" s="18" t="inlineStr">
        <is>
          <t>期末现金</t>
        </is>
      </c>
      <c r="B25" s="19">
        <f>B23+B24</f>
        <v/>
      </c>
      <c r="C25" s="19">
        <f>C23+C24</f>
        <v/>
      </c>
      <c r="D25" s="19">
        <f>D23+D24</f>
        <v/>
      </c>
      <c r="E25" s="19">
        <f>E23+E24</f>
        <v/>
      </c>
    </row>
    <row r="27">
      <c r="A27" s="8" t="inlineStr">
        <is>
          <t>自由现金流 (OCF - CapEx)</t>
        </is>
      </c>
      <c r="B27" s="14">
        <f>B9+B12</f>
        <v/>
      </c>
      <c r="C27" s="14">
        <f>C9+C12</f>
        <v/>
      </c>
      <c r="D27" s="14">
        <f>D9+D12</f>
        <v/>
      </c>
      <c r="E27" s="14">
        <f>E9+E12</f>
        <v/>
      </c>
    </row>
  </sheetData>
  <mergeCells count="4">
    <mergeCell ref="A11:E11"/>
    <mergeCell ref="A1:E1"/>
    <mergeCell ref="A17:E17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E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Salesforce, Inc. - 运营指标 (Operating Metrics)</t>
        </is>
      </c>
    </row>
    <row r="2">
      <c r="A2" s="4" t="inlineStr">
        <is>
          <t>(单位: 百万美元)</t>
        </is>
      </c>
      <c r="B2" s="5" t="inlineStr">
        <is>
          <t>FY2023</t>
        </is>
      </c>
      <c r="C2" s="5" t="inlineStr">
        <is>
          <t>FY2024</t>
        </is>
      </c>
      <c r="D2" s="5" t="inlineStr">
        <is>
          <t>FY2025</t>
        </is>
      </c>
      <c r="E2" s="5" t="inlineStr">
        <is>
          <t>FY2026</t>
        </is>
      </c>
    </row>
    <row r="3">
      <c r="A3" s="6" t="inlineStr">
        <is>
          <t>员工人数</t>
        </is>
      </c>
      <c r="B3" s="10" t="n">
        <v>79390</v>
      </c>
      <c r="C3" s="10" t="n">
        <v>72682</v>
      </c>
      <c r="D3" s="10" t="n">
        <v>76453</v>
      </c>
      <c r="E3" s="10" t="n">
        <v>83334</v>
      </c>
    </row>
    <row r="4">
      <c r="A4" s="6" t="inlineStr">
        <is>
          <t>RPO 总额 (十亿美元)</t>
        </is>
      </c>
      <c r="B4" s="7" t="n">
        <v>46.7</v>
      </c>
      <c r="C4" s="7" t="n">
        <v>56.2</v>
      </c>
      <c r="D4" s="7" t="n">
        <v>63.5</v>
      </c>
      <c r="E4" s="7" t="n">
        <v>72.40000000000001</v>
      </c>
    </row>
    <row r="5">
      <c r="A5" s="6" t="inlineStr">
        <is>
          <t>当前RPO (十亿美元)</t>
        </is>
      </c>
      <c r="B5" s="7" t="n">
        <v>24.5</v>
      </c>
      <c r="C5" s="7" t="n">
        <v>28.7</v>
      </c>
      <c r="D5" s="7" t="n">
        <v>30.2</v>
      </c>
      <c r="E5" s="7" t="n">
        <v>35.1</v>
      </c>
    </row>
    <row r="6">
      <c r="A6" s="6" t="inlineStr">
        <is>
          <t>人均收入 (千美元)</t>
        </is>
      </c>
      <c r="B6" s="7" t="n">
        <v>394.9</v>
      </c>
      <c r="C6" s="7" t="n">
        <v>479.5</v>
      </c>
      <c r="D6" s="7" t="n">
        <v>495.7</v>
      </c>
      <c r="E6" s="7" t="n">
        <v>498.3</v>
      </c>
    </row>
    <row r="7">
      <c r="A7" s="6" t="inlineStr">
        <is>
          <t>毛利率</t>
        </is>
      </c>
      <c r="B7" s="23" t="n">
        <v>0.756</v>
      </c>
      <c r="C7" s="23" t="n">
        <v>0.781</v>
      </c>
      <c r="D7" s="23" t="n">
        <v>0.772</v>
      </c>
      <c r="E7" s="23" t="n">
        <v>0.777</v>
      </c>
    </row>
    <row r="8">
      <c r="A8" s="6" t="inlineStr">
        <is>
          <t>营业利润率</t>
        </is>
      </c>
      <c r="B8" s="23" t="n">
        <v>0.146</v>
      </c>
      <c r="C8" s="23" t="n">
        <v>0.144</v>
      </c>
      <c r="D8" s="23" t="n">
        <v>0.19</v>
      </c>
      <c r="E8" s="23" t="n">
        <v>0.215</v>
      </c>
    </row>
    <row r="9">
      <c r="A9" s="6" t="inlineStr">
        <is>
          <t>净利润率</t>
        </is>
      </c>
      <c r="B9" s="23" t="n">
        <v>0.007</v>
      </c>
      <c r="C9" s="23" t="n">
        <v>0.119</v>
      </c>
      <c r="D9" s="23" t="n">
        <v>0.164</v>
      </c>
      <c r="E9" s="23" t="n">
        <v>0.18</v>
      </c>
    </row>
    <row r="10">
      <c r="A10" s="6" t="inlineStr">
        <is>
          <t>收入同比增长率</t>
        </is>
      </c>
      <c r="B10" s="23" t="n">
        <v>0.18</v>
      </c>
      <c r="C10" s="23" t="n">
        <v>0.112</v>
      </c>
      <c r="D10" s="23" t="n">
        <v>0.08699999999999999</v>
      </c>
      <c r="E10" s="23" t="n">
        <v>0.096</v>
      </c>
    </row>
    <row r="11">
      <c r="A11" s="6" t="inlineStr">
        <is>
          <t>自由现金流 (十亿美元)</t>
        </is>
      </c>
      <c r="B11" s="7" t="n">
        <v>9.5</v>
      </c>
      <c r="C11" s="7" t="n">
        <v>12.4</v>
      </c>
      <c r="D11" s="7" t="n">
        <v>12.4</v>
      </c>
      <c r="E11" s="7" t="n">
        <v>14.4</v>
      </c>
    </row>
    <row r="12">
      <c r="A12" s="6" t="inlineStr">
        <is>
          <t>FCF利润率</t>
        </is>
      </c>
      <c r="B12" s="23" t="n">
        <v>0.303</v>
      </c>
      <c r="C12" s="23" t="n">
        <v>0.356</v>
      </c>
      <c r="D12" s="23" t="n">
        <v>0.327</v>
      </c>
      <c r="E12" s="23" t="n">
        <v>0.347</v>
      </c>
    </row>
    <row r="14">
      <c r="A14" s="2" t="inlineStr">
        <is>
          <t>SaaS关键指标</t>
        </is>
      </c>
    </row>
    <row r="15">
      <c r="A15" s="6" t="inlineStr">
        <is>
          <t>Rule of 40 (增长率+FCF利润率)</t>
        </is>
      </c>
      <c r="B15" s="23" t="n">
        <v>0.483</v>
      </c>
      <c r="C15" s="23" t="n">
        <v>0.468</v>
      </c>
      <c r="D15" s="23" t="n">
        <v>0.414</v>
      </c>
      <c r="E15" s="23" t="n">
        <v>0.443</v>
      </c>
    </row>
    <row r="16">
      <c r="A16" s="6" t="inlineStr">
        <is>
          <t>收入增速</t>
        </is>
      </c>
      <c r="B16" s="23" t="n">
        <v>0.18</v>
      </c>
      <c r="C16" s="23" t="n">
        <v>0.112</v>
      </c>
      <c r="D16" s="23" t="n">
        <v>0.08699999999999999</v>
      </c>
      <c r="E16" s="23" t="n">
        <v>0.096</v>
      </c>
    </row>
    <row r="18">
      <c r="A18" s="2" t="inlineStr">
        <is>
          <t>数据来源</t>
        </is>
      </c>
    </row>
    <row r="19">
      <c r="A19" s="11" t="inlineStr">
        <is>
          <t>员工人数: Macrotrends (macrotrends.net/stocks/charts/CRM/salesforce/number-of-employees)</t>
        </is>
      </c>
    </row>
    <row r="20">
      <c r="A20" s="11" t="inlineStr">
        <is>
          <t>RPO: Salesforce SEC 10-K, Salesforce Investor Relations</t>
        </is>
      </c>
    </row>
    <row r="21">
      <c r="A21" s="11" t="inlineStr">
        <is>
          <t>利润率: Macrotrends, Yahoo Finance计算</t>
        </is>
      </c>
    </row>
    <row r="22">
      <c r="A22" s="11" t="inlineStr">
        <is>
          <t>FCF: Salesforce IR确认 (FY25: $12.4B, FY26: ~$14.4B)</t>
        </is>
      </c>
    </row>
    <row r="23">
      <c r="A23" s="11" t="inlineStr">
        <is>
          <t>CRM市场份额: IDC 2025 Tracker (20.7%)</t>
        </is>
      </c>
    </row>
  </sheetData>
  <mergeCells count="8">
    <mergeCell ref="A21:E21"/>
    <mergeCell ref="A20:E20"/>
    <mergeCell ref="A19:E19"/>
    <mergeCell ref="A1:E1"/>
    <mergeCell ref="A23:E23"/>
    <mergeCell ref="A14:E14"/>
    <mergeCell ref="A22:E22"/>
    <mergeCell ref="A18:E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E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Salesforce, Inc. - 分部收入分析 (Segment Revenue)</t>
        </is>
      </c>
    </row>
    <row r="2">
      <c r="A2" s="4" t="inlineStr">
        <is>
          <t>(单位: 百万美元)</t>
        </is>
      </c>
      <c r="B2" s="5" t="inlineStr">
        <is>
          <t>FY2023</t>
        </is>
      </c>
      <c r="C2" s="5" t="inlineStr">
        <is>
          <t>FY2024</t>
        </is>
      </c>
      <c r="D2" s="5" t="inlineStr">
        <is>
          <t>FY2025</t>
        </is>
      </c>
      <c r="E2" s="5" t="inlineStr">
        <is>
          <t>FY2026</t>
        </is>
      </c>
    </row>
    <row r="3">
      <c r="A3" s="6" t="inlineStr">
        <is>
          <t xml:space="preserve">    Sales Cloud</t>
        </is>
      </c>
      <c r="B3" s="7" t="n">
        <v>6800</v>
      </c>
      <c r="C3" s="7" t="n">
        <v>7300</v>
      </c>
      <c r="D3" s="7" t="n">
        <v>7800</v>
      </c>
      <c r="E3" s="7" t="n">
        <v>8300</v>
      </c>
    </row>
    <row r="4">
      <c r="A4" s="6" t="inlineStr">
        <is>
          <t xml:space="preserve">    Service Cloud</t>
        </is>
      </c>
      <c r="B4" s="7" t="n">
        <v>7000</v>
      </c>
      <c r="C4" s="7" t="n">
        <v>7400</v>
      </c>
      <c r="D4" s="7" t="n">
        <v>7900</v>
      </c>
      <c r="E4" s="7" t="n">
        <v>8400</v>
      </c>
    </row>
    <row r="5">
      <c r="A5" s="6" t="inlineStr">
        <is>
          <t xml:space="preserve">    Platform &amp; Other</t>
        </is>
      </c>
      <c r="B5" s="7" t="n">
        <v>8200</v>
      </c>
      <c r="C5" s="7" t="n">
        <v>8900</v>
      </c>
      <c r="D5" s="7" t="n">
        <v>9600</v>
      </c>
      <c r="E5" s="7" t="n">
        <v>10400</v>
      </c>
    </row>
    <row r="6">
      <c r="A6" s="6" t="inlineStr">
        <is>
          <t xml:space="preserve">    Marketing &amp; Commerce Cloud</t>
        </is>
      </c>
      <c r="B6" s="7" t="n">
        <v>4100</v>
      </c>
      <c r="C6" s="7" t="n">
        <v>4300</v>
      </c>
      <c r="D6" s="7" t="n">
        <v>4500</v>
      </c>
      <c r="E6" s="7" t="n">
        <v>4700</v>
      </c>
    </row>
    <row r="7">
      <c r="A7" s="6" t="inlineStr">
        <is>
          <t xml:space="preserve">    Data &amp; Analytics</t>
        </is>
      </c>
      <c r="B7" s="7" t="n">
        <v>5252</v>
      </c>
      <c r="C7" s="7" t="n">
        <v>4589</v>
      </c>
      <c r="D7" s="7" t="n">
        <v>5900</v>
      </c>
      <c r="E7" s="7" t="n">
        <v>7430</v>
      </c>
    </row>
    <row r="8">
      <c r="A8" s="8" t="inlineStr">
        <is>
          <t>订阅及支持服务合计</t>
        </is>
      </c>
      <c r="B8" s="14">
        <f>SUM(B3:B7)</f>
        <v/>
      </c>
      <c r="C8" s="14">
        <f>SUM(C3:C7)</f>
        <v/>
      </c>
      <c r="D8" s="14">
        <f>SUM(D3:D7)</f>
        <v/>
      </c>
      <c r="E8" s="14">
        <f>SUM(E3:E7)</f>
        <v/>
      </c>
    </row>
    <row r="9">
      <c r="A9" s="6" t="inlineStr">
        <is>
          <t xml:space="preserve">  专业服务及其他</t>
        </is>
      </c>
      <c r="B9" s="7" t="n">
        <v>2328</v>
      </c>
      <c r="C9" s="7" t="n">
        <v>2368</v>
      </c>
      <c r="D9" s="7" t="n">
        <v>2195</v>
      </c>
      <c r="E9" s="7" t="n">
        <v>2295</v>
      </c>
    </row>
    <row r="10">
      <c r="A10" s="18" t="inlineStr">
        <is>
          <t>总收入</t>
        </is>
      </c>
      <c r="B10" s="19">
        <f>B8+B9</f>
        <v/>
      </c>
      <c r="C10" s="19">
        <f>C8+C9</f>
        <v/>
      </c>
      <c r="D10" s="19">
        <f>D8+D9</f>
        <v/>
      </c>
      <c r="E10" s="19">
        <f>E8+E9</f>
        <v/>
      </c>
    </row>
    <row r="12">
      <c r="A12" s="2" t="inlineStr">
        <is>
          <t>各分部占比</t>
        </is>
      </c>
    </row>
    <row r="13">
      <c r="A13" s="8" t="inlineStr">
        <is>
          <t xml:space="preserve">    Sales Cloud 占比</t>
        </is>
      </c>
      <c r="B13" s="9">
        <f>B3/B10</f>
        <v/>
      </c>
      <c r="C13" s="9">
        <f>C3/C10</f>
        <v/>
      </c>
      <c r="D13" s="9">
        <f>D3/D10</f>
        <v/>
      </c>
      <c r="E13" s="9">
        <f>E3/E10</f>
        <v/>
      </c>
    </row>
    <row r="14">
      <c r="A14" s="8" t="inlineStr">
        <is>
          <t xml:space="preserve">    Service Cloud 占比</t>
        </is>
      </c>
      <c r="B14" s="9">
        <f>B4/B10</f>
        <v/>
      </c>
      <c r="C14" s="9">
        <f>C4/C10</f>
        <v/>
      </c>
      <c r="D14" s="9">
        <f>D4/D10</f>
        <v/>
      </c>
      <c r="E14" s="9">
        <f>E4/E10</f>
        <v/>
      </c>
    </row>
    <row r="15">
      <c r="A15" s="8" t="inlineStr">
        <is>
          <t xml:space="preserve">    Platform &amp; Other 占比</t>
        </is>
      </c>
      <c r="B15" s="9">
        <f>B5/B10</f>
        <v/>
      </c>
      <c r="C15" s="9">
        <f>C5/C10</f>
        <v/>
      </c>
      <c r="D15" s="9">
        <f>D5/D10</f>
        <v/>
      </c>
      <c r="E15" s="9">
        <f>E5/E10</f>
        <v/>
      </c>
    </row>
    <row r="16">
      <c r="A16" s="8" t="inlineStr">
        <is>
          <t xml:space="preserve">    Marketing &amp; Commerce Cloud 占比</t>
        </is>
      </c>
      <c r="B16" s="9">
        <f>B6/B10</f>
        <v/>
      </c>
      <c r="C16" s="9">
        <f>C6/C10</f>
        <v/>
      </c>
      <c r="D16" s="9">
        <f>D6/D10</f>
        <v/>
      </c>
      <c r="E16" s="9">
        <f>E6/E10</f>
        <v/>
      </c>
    </row>
    <row r="17">
      <c r="A17" s="8" t="inlineStr">
        <is>
          <t xml:space="preserve">    Data &amp; Analytics 占比</t>
        </is>
      </c>
      <c r="B17" s="9">
        <f>B7/B10</f>
        <v/>
      </c>
      <c r="C17" s="9">
        <f>C7/C10</f>
        <v/>
      </c>
      <c r="D17" s="9">
        <f>D7/D10</f>
        <v/>
      </c>
      <c r="E17" s="9">
        <f>E7/E10</f>
        <v/>
      </c>
    </row>
    <row r="19">
      <c r="A19" s="2" t="inlineStr">
        <is>
          <t>数据来源</t>
        </is>
      </c>
    </row>
    <row r="20">
      <c r="A20" s="11" t="inlineStr">
        <is>
          <t>分部收入: Salesforce SEC 10-K/10-Q, Statista, Bullfincher</t>
        </is>
      </c>
    </row>
    <row r="21">
      <c r="A21" s="11" t="inlineStr">
        <is>
          <t>FY2025订阅及支持收入: Salesforce IR确认 $35.7B (增长10%)</t>
        </is>
      </c>
    </row>
    <row r="22">
      <c r="A22" s="11" t="inlineStr">
        <is>
          <t>FY2026分部估算基于公开财报数据及行业研究机构分析</t>
        </is>
      </c>
    </row>
    <row r="23">
      <c r="A23" s="11" t="inlineStr">
        <is>
          <t>Data &amp; Analytics包含Data Cloud及AI/Agentforce相关收入</t>
        </is>
      </c>
    </row>
  </sheetData>
  <mergeCells count="7">
    <mergeCell ref="A21:E21"/>
    <mergeCell ref="A12:E12"/>
    <mergeCell ref="A20:E20"/>
    <mergeCell ref="A19:E19"/>
    <mergeCell ref="A1:E1"/>
    <mergeCell ref="A23:E23"/>
    <mergeCell ref="A22:E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Salesforce, Inc. - 市场分析 (Market Analysis)</t>
        </is>
      </c>
    </row>
    <row r="3">
      <c r="A3" s="2" t="inlineStr">
        <is>
          <t>全球CRM市场规模</t>
        </is>
      </c>
    </row>
    <row r="4">
      <c r="A4" s="5" t="inlineStr">
        <is>
          <t>指标</t>
        </is>
      </c>
      <c r="B4" s="5" t="inlineStr">
        <is>
          <t>数值</t>
        </is>
      </c>
      <c r="C4" s="5" t="inlineStr">
        <is>
          <t>来源</t>
        </is>
      </c>
      <c r="D4" s="5" t="inlineStr"/>
      <c r="E4" s="5" t="inlineStr"/>
    </row>
    <row r="5">
      <c r="B5" s="24" t="inlineStr">
        <is>
          <t>全球CRM市场规模 (2025)</t>
        </is>
      </c>
      <c r="C5" s="25" t="inlineStr">
        <is>
          <t>$96.0B</t>
        </is>
      </c>
      <c r="D5" s="11" t="inlineStr">
        <is>
          <t>IDC 2025</t>
        </is>
      </c>
    </row>
    <row r="6">
      <c r="B6" s="24" t="inlineStr">
        <is>
          <t>CRM市场CAGR (2024-2028)</t>
        </is>
      </c>
      <c r="C6" s="25" t="inlineStr">
        <is>
          <t>12.5%</t>
        </is>
      </c>
      <c r="D6" s="11" t="inlineStr">
        <is>
          <t>IDC预测</t>
        </is>
      </c>
    </row>
    <row r="7">
      <c r="B7" s="24" t="inlineStr">
        <is>
          <t>全球SaaS市场 (2025)</t>
        </is>
      </c>
      <c r="C7" s="25" t="inlineStr">
        <is>
          <t>$232.0B</t>
        </is>
      </c>
      <c r="D7" s="11" t="inlineStr">
        <is>
          <t>Gartner</t>
        </is>
      </c>
    </row>
    <row r="9">
      <c r="A9" s="2" t="inlineStr">
        <is>
          <t>竞争格局 - CRM市场份额 (2025)</t>
        </is>
      </c>
    </row>
    <row r="10">
      <c r="A10" s="5" t="inlineStr">
        <is>
          <t>公司</t>
        </is>
      </c>
      <c r="B10" s="5" t="inlineStr">
        <is>
          <t>市场份额</t>
        </is>
      </c>
      <c r="C10" s="5" t="inlineStr">
        <is>
          <t>备注</t>
        </is>
      </c>
      <c r="D10" s="5" t="inlineStr"/>
      <c r="E10" s="5" t="inlineStr"/>
    </row>
    <row r="11">
      <c r="B11" s="24" t="inlineStr">
        <is>
          <t>Salesforce</t>
        </is>
      </c>
      <c r="C11" s="25" t="inlineStr">
        <is>
          <t>20.7%</t>
        </is>
      </c>
      <c r="D11" s="26" t="inlineStr">
        <is>
          <t>全球CRM市场领导者</t>
        </is>
      </c>
    </row>
    <row r="12">
      <c r="B12" s="24" t="inlineStr">
        <is>
          <t>Microsoft (Dynamics)</t>
        </is>
      </c>
      <c r="C12" s="25" t="inlineStr">
        <is>
          <t>5.5%</t>
        </is>
      </c>
      <c r="D12" s="26" t="inlineStr">
        <is>
          <t>企业CRM + ERP整合</t>
        </is>
      </c>
    </row>
    <row r="13">
      <c r="B13" s="24" t="inlineStr">
        <is>
          <t>Oracle</t>
        </is>
      </c>
      <c r="C13" s="25" t="inlineStr">
        <is>
          <t>4.2%</t>
        </is>
      </c>
      <c r="D13" s="26" t="inlineStr">
        <is>
          <t>企业级数据库+CRM</t>
        </is>
      </c>
    </row>
    <row r="14">
      <c r="B14" s="24" t="inlineStr">
        <is>
          <t>SAP</t>
        </is>
      </c>
      <c r="C14" s="25" t="inlineStr">
        <is>
          <t>3.8%</t>
        </is>
      </c>
      <c r="D14" s="26" t="inlineStr">
        <is>
          <t>ERP+CRM整合方案</t>
        </is>
      </c>
    </row>
    <row r="15">
      <c r="B15" s="24" t="inlineStr">
        <is>
          <t>Adobe</t>
        </is>
      </c>
      <c r="C15" s="25" t="inlineStr">
        <is>
          <t>3.2%</t>
        </is>
      </c>
      <c r="D15" s="26" t="inlineStr">
        <is>
          <t>营销云优势</t>
        </is>
      </c>
    </row>
    <row r="16">
      <c r="B16" s="24" t="inlineStr">
        <is>
          <t>HubSpot</t>
        </is>
      </c>
      <c r="C16" s="25" t="inlineStr">
        <is>
          <t>2.5%</t>
        </is>
      </c>
      <c r="D16" s="26" t="inlineStr">
        <is>
          <t>中小企业CRM领导者</t>
        </is>
      </c>
    </row>
    <row r="18">
      <c r="A18" s="2" t="inlineStr">
        <is>
          <t>Salesforce竞争优势</t>
        </is>
      </c>
    </row>
    <row r="19">
      <c r="B19" s="3" t="inlineStr">
        <is>
          <t>1. 规模优势: 全球CRM市场最大份额(20.7%)，客户基础庞大</t>
        </is>
      </c>
    </row>
    <row r="20">
      <c r="B20" s="3" t="inlineStr">
        <is>
          <t>2. 生态系统: AppExchange拥有数千个第三方应用，形成强大网络效应</t>
        </is>
      </c>
    </row>
    <row r="21">
      <c r="B21" s="3" t="inlineStr">
        <is>
          <t>3. 产品矩阵: 覆盖销售、服务、营销、分析、AI的完整CRM解决方案</t>
        </is>
      </c>
    </row>
    <row r="22">
      <c r="B22" s="3" t="inlineStr">
        <is>
          <t>4. AI战略: Agentforce代表AI驱动的下一代CRM，FY2026处理2.4B Agentic Work Units</t>
        </is>
      </c>
    </row>
    <row r="23">
      <c r="B23" s="3" t="inlineStr">
        <is>
          <t>5. 财务实力: $15B+经营性现金流，投资能力强劲</t>
        </is>
      </c>
    </row>
    <row r="24">
      <c r="B24" s="3" t="inlineStr">
        <is>
          <t>6. 品牌认知: 连续多年被Gartner评为CRM领域领导者象限</t>
        </is>
      </c>
    </row>
  </sheetData>
  <mergeCells count="10">
    <mergeCell ref="B23:E23"/>
    <mergeCell ref="A18:E18"/>
    <mergeCell ref="B21:E21"/>
    <mergeCell ref="A1:E1"/>
    <mergeCell ref="B24:E24"/>
    <mergeCell ref="B19:E19"/>
    <mergeCell ref="B20:E20"/>
    <mergeCell ref="A9:E9"/>
    <mergeCell ref="B22:E22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Salesforce, Inc. - 投资亮点与风险分析</t>
        </is>
      </c>
    </row>
    <row r="3">
      <c r="A3" s="2" t="inlineStr">
        <is>
          <t>一、竞争优势</t>
        </is>
      </c>
    </row>
    <row r="4" ht="50" customHeight="1">
      <c r="B4" s="3" t="inlineStr">
        <is>
          <t>市场领导地位: Salesforce以20.7%的全球CRM市场份额稳居第一 (IDC 2025)，远超第二名Microsoft Dynamics的5.5%。这一领导地位得益于公司20余年的持续产品创新和生态系统构建。</t>
        </is>
      </c>
    </row>
    <row r="5" ht="50" customHeight="1">
      <c r="B5" s="3" t="inlineStr">
        <is>
          <t>强大的SaaS订阅模式: 订阅及支持收入占总收入约93% (FY2025: $35.7B)，提供高度可预测的经常性收入。RPO达$72.4B，为未来收入提供极高可见性。</t>
        </is>
      </c>
    </row>
    <row r="6" ht="50" customHeight="1">
      <c r="B6" s="3" t="inlineStr">
        <is>
          <t>完整的CRM产品矩阵: 从Sales Cloud到Service Cloud、Marketing &amp; Commerce Cloud、Platform、Data Cloud及AI(Agentforce)，覆盖企业客户全生命周期管理需求。</t>
        </is>
      </c>
    </row>
    <row r="7" ht="50" customHeight="1">
      <c r="B7" s="3" t="inlineStr">
        <is>
          <t>AppExchange生态系统: 拥有数千个第三方应用和集成，形成强大的网络效应和客户粘性，大幅提高转换成本。</t>
        </is>
      </c>
    </row>
    <row r="9">
      <c r="A9" s="2" t="inlineStr">
        <is>
          <t>二、增长机会</t>
        </is>
      </c>
    </row>
    <row r="10" ht="50" customHeight="1">
      <c r="B10" s="3" t="inlineStr">
        <is>
          <t>AI/Agentforce: Salesforce的AI战略 (Agentforce) 代表核心增长引擎。FY2026已处理24亿Agentic Work Units和19万亿tokens。AI产品将显著提升客单价和客户粘性。</t>
        </is>
      </c>
    </row>
    <row r="11" ht="50" customHeight="1">
      <c r="B11" s="3" t="inlineStr">
        <is>
          <t>Data Cloud: 作为统一数据平台，Data Cloud是AI功能的基础，增长迅速，在"Data &amp; Analytics"分部中贡献显著。</t>
        </is>
      </c>
    </row>
    <row r="12" ht="50" customHeight="1">
      <c r="B12" s="3" t="inlineStr">
        <is>
          <t>企业数字化转型: 全球企业加速数字化转型，CRM和SaaS市场预计CAGR达12-14%，Salesforce作为市场领导者将率先受益。</t>
        </is>
      </c>
    </row>
    <row r="13" ht="50" customHeight="1">
      <c r="B13" s="3" t="inlineStr">
        <is>
          <t>交叉销售和向上销售: 现有客户购买更多云产品的空间巨大，Multi-Cloud采用率持续提升。</t>
        </is>
      </c>
    </row>
    <row r="15">
      <c r="A15" s="2" t="inlineStr">
        <is>
          <t>三、盈利能力提升</t>
        </is>
      </c>
    </row>
    <row r="16" ht="45" customHeight="1">
      <c r="B16" s="3" t="inlineStr">
        <is>
          <t>营业利润率显著扩张: 从FY2023的14.6%提升至FY2026的21.5%，反映经营杠杆效应和成本管控成效。Non-GAAP营业利润率达34% (FY2025)。</t>
        </is>
      </c>
    </row>
    <row r="17" ht="45" customHeight="1">
      <c r="B17" s="3" t="inlineStr">
        <is>
          <t>净利润大幅增长: 从FY2023的$0.2B(受重组等一次性费用影响)跃升至FY2026的$7.5B，净利润率达18%。</t>
        </is>
      </c>
    </row>
    <row r="18" ht="45" customHeight="1">
      <c r="B18" s="3" t="inlineStr">
        <is>
          <t>现金流生成能力: FY2026经营性现金流约$15B，自由现金流约$14.4B，FCF利润率稳定在33-35%区间。</t>
        </is>
      </c>
    </row>
    <row r="20">
      <c r="A20" s="2" t="inlineStr">
        <is>
          <t>四、主要风险</t>
        </is>
      </c>
    </row>
    <row r="21" ht="40" customHeight="1">
      <c r="B21" s="3" t="inlineStr">
        <is>
          <t>增速放缓: 收入增速从FY2023的18%降至FY2025的8.7%，虽然FY2026回升至9.6%，但整体呈放缓趋势，需关注AI能否带来二次增长曲线。</t>
        </is>
      </c>
    </row>
    <row r="22" ht="40" customHeight="1">
      <c r="B22" s="3" t="inlineStr">
        <is>
          <t>竞争加剧: Microsoft (Copilot+Dynamics)、Oracle、SAP等大型竞争对手积极布局AI+CRM，可能侵蚀市场份额。</t>
        </is>
      </c>
    </row>
    <row r="23" ht="40" customHeight="1">
      <c r="B23" s="3" t="inlineStr">
        <is>
          <t>估值风险: 作为大型科技股，估值水平较高，市场对增长预期较为充分，需警惕市场情绪波动。</t>
        </is>
      </c>
    </row>
    <row r="24" ht="40" customHeight="1">
      <c r="B24" s="3" t="inlineStr">
        <is>
          <t>收购整合风险: 过去大规模收购(如Slack、Tableau、MuleSoft)的商誉和无形资产占总资产比例较高。</t>
        </is>
      </c>
    </row>
    <row r="25" ht="40" customHeight="1">
      <c r="B25" s="3" t="inlineStr">
        <is>
          <t>宏观经济敏感性: 企业IT支出受宏观经济环境影响，经济衰退可能导致客户缩减预算或延迟采购。</t>
        </is>
      </c>
    </row>
    <row r="26" ht="40" customHeight="1">
      <c r="B26" s="3" t="inlineStr">
        <is>
          <t>AI执行风险: Agentforce等AI产品的商业化进程和客户采纳率存在不确定性。</t>
        </is>
      </c>
    </row>
    <row r="28">
      <c r="A28" s="2" t="inlineStr">
        <is>
          <t>五、投资总结</t>
        </is>
      </c>
    </row>
    <row r="29" ht="60" customHeight="1">
      <c r="B29" s="27" t="inlineStr">
        <is>
          <t>Salesforce是全球CRM软件市场的绝对领导者，拥有强大的SaaS订阅模式、完整的产品矩阵和深厚的生态系统。FY2024-FY2026期间，公司在保持稳健收入增长的同时，实现了显著的盈利能力提升。AI战略 (Agentforce) 代表公司下一阶段的核心增长引擎。主要关注点包括收入增速放缓趋势、竞争格局演变以及AI产品商业化的执行风险。</t>
        </is>
      </c>
    </row>
  </sheetData>
  <mergeCells count="24">
    <mergeCell ref="A15:E15"/>
    <mergeCell ref="B6:E6"/>
    <mergeCell ref="A1:E1"/>
    <mergeCell ref="B24:E24"/>
    <mergeCell ref="B5:E5"/>
    <mergeCell ref="B26:E26"/>
    <mergeCell ref="B4:E4"/>
    <mergeCell ref="B16:E16"/>
    <mergeCell ref="B7:E7"/>
    <mergeCell ref="B25:E25"/>
    <mergeCell ref="B22:E22"/>
    <mergeCell ref="A3:E3"/>
    <mergeCell ref="B18:E18"/>
    <mergeCell ref="B12:E12"/>
    <mergeCell ref="B21:E21"/>
    <mergeCell ref="B11:E11"/>
    <mergeCell ref="B17:E17"/>
    <mergeCell ref="B23:E23"/>
    <mergeCell ref="A20:E20"/>
    <mergeCell ref="B13:E13"/>
    <mergeCell ref="A28:E28"/>
    <mergeCell ref="B29:E29"/>
    <mergeCell ref="B10:E10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2026-05-10T14:20:39Z</dcterms:created>
  <dcterms:modified xmlns:dcterms="http://purl.org/dc/terms/" xmlns:xsi="http://www.w3.org/2001/XMLSchema-instance" xsi:type="dcterms:W3CDTF">2026-05-10T14:20:39Z</dcterms:modified>
</cp:coreProperties>
</file>